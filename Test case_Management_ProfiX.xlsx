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 yWindow="500" windowWidth="38400" windowHeight="19820" tabRatio="600" firstSheet="0" activeTab="8" autoFilterDateGrouping="1"/>
  </bookViews>
  <sheets>
    <sheet xmlns:r="http://schemas.openxmlformats.org/officeDocument/2006/relationships" name="📊 Dashboard" sheetId="1" state="visible" r:id="rId1"/>
    <sheet xmlns:r="http://schemas.openxmlformats.org/officeDocument/2006/relationships" name="📅 Daily Tracking" sheetId="2" state="visible" r:id="rId2"/>
    <sheet xmlns:r="http://schemas.openxmlformats.org/officeDocument/2006/relationships" name="🐞 Bug Tracker" sheetId="3" state="visible" r:id="rId3"/>
    <sheet xmlns:r="http://schemas.openxmlformats.org/officeDocument/2006/relationships" name="II.5.1.1.2" sheetId="4" state="visible" r:id="rId4"/>
    <sheet xmlns:r="http://schemas.openxmlformats.org/officeDocument/2006/relationships" name="II.5.1.1.3" sheetId="5" state="visible" r:id="rId5"/>
    <sheet xmlns:r="http://schemas.openxmlformats.org/officeDocument/2006/relationships" name="II.5.1.1.4" sheetId="6" state="visible" r:id="rId6"/>
    <sheet xmlns:r="http://schemas.openxmlformats.org/officeDocument/2006/relationships" name="II.5.1.1.5" sheetId="7" state="visible" r:id="rId7"/>
    <sheet xmlns:r="http://schemas.openxmlformats.org/officeDocument/2006/relationships" name="II.5.1.1.6" sheetId="8" state="visible" r:id="rId8"/>
    <sheet xmlns:r="http://schemas.openxmlformats.org/officeDocument/2006/relationships" name="II.5.1.2" sheetId="9" state="visible" r:id="rId9"/>
    <sheet xmlns:r="http://schemas.openxmlformats.org/officeDocument/2006/relationships" name="II.5.1.3" sheetId="10" state="visible" r:id="rId10"/>
    <sheet xmlns:r="http://schemas.openxmlformats.org/officeDocument/2006/relationships" name="II.5.1.4" sheetId="11" state="visible" r:id="rId11"/>
    <sheet xmlns:r="http://schemas.openxmlformats.org/officeDocument/2006/relationships" name="II.5.1.5" sheetId="12" state="visible" r:id="rId12"/>
    <sheet xmlns:r="http://schemas.openxmlformats.org/officeDocument/2006/relationships" name="II.5.4.5" sheetId="13" state="visible" r:id="rId13"/>
    <sheet xmlns:r="http://schemas.openxmlformats.org/officeDocument/2006/relationships" name="II.4.2.5" sheetId="14" state="visible" r:id="rId14"/>
    <sheet xmlns:r="http://schemas.openxmlformats.org/officeDocument/2006/relationships" name="II.5.4.1" sheetId="15" state="visible" r:id="rId15"/>
    <sheet xmlns:r="http://schemas.openxmlformats.org/officeDocument/2006/relationships" name="II.4.2.1" sheetId="16" state="visible" r:id="rId16"/>
    <sheet xmlns:r="http://schemas.openxmlformats.org/officeDocument/2006/relationships" name="II.5.4.9" sheetId="17" state="visible" r:id="rId17"/>
    <sheet xmlns:r="http://schemas.openxmlformats.org/officeDocument/2006/relationships" name="II.6.6. API" sheetId="18" state="visible" r:id="rId18"/>
  </sheets>
  <externalReferences>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s>
  <definedNames/>
  <calcPr calcId="191029" fullCalcOnLoad="1"/>
</workbook>
</file>

<file path=xl/styles.xml><?xml version="1.0" encoding="utf-8"?>
<styleSheet xmlns="http://schemas.openxmlformats.org/spreadsheetml/2006/main">
  <numFmts count="0"/>
  <fonts count="13">
    <font>
      <name val="Calibri"/>
      <color theme="1"/>
      <sz val="11"/>
      <scheme val="minor"/>
    </font>
    <font>
      <name val="Calibri"/>
      <family val="2"/>
      <b val="1"/>
      <color rgb="FFFFFFFF"/>
      <sz val="14"/>
      <scheme val="minor"/>
    </font>
    <font>
      <name val="Calibri"/>
      <family val="2"/>
      <b val="1"/>
      <color rgb="FFFFFFFF"/>
      <sz val="11"/>
      <scheme val="minor"/>
    </font>
    <font>
      <name val="Calibri"/>
      <family val="2"/>
      <color theme="1"/>
      <sz val="11"/>
    </font>
    <font>
      <name val="Calibri"/>
      <family val="2"/>
      <b val="1"/>
      <color rgb="FFFFFFFF"/>
      <sz val="13"/>
    </font>
    <font>
      <name val="Calibri"/>
      <family val="2"/>
      <b val="1"/>
      <color rgb="FFFFFFFF"/>
      <sz val="11"/>
    </font>
    <font>
      <name val="Calibri"/>
      <family val="2"/>
      <i val="1"/>
      <color rgb="FF7F7F7F"/>
      <sz val="9"/>
    </font>
    <font>
      <name val="Calibri"/>
      <family val="2"/>
      <b val="1"/>
      <color theme="1"/>
      <sz val="11"/>
    </font>
    <font>
      <name val="Calibri"/>
      <family val="2"/>
      <b val="1"/>
      <color rgb="FFFFFFFF"/>
      <sz val="13"/>
      <scheme val="minor"/>
    </font>
    <font>
      <name val="Calibri"/>
      <family val="2"/>
      <color theme="1"/>
      <sz val="11"/>
      <scheme val="minor"/>
    </font>
    <font>
      <name val="Calibri"/>
      <sz val="9"/>
    </font>
    <font>
      <b val="1"/>
      <sz val="12"/>
    </font>
    <font>
      <name val="Calibri"/>
      <b val="1"/>
      <color rgb="00FFFFFF"/>
      <sz val="10"/>
    </font>
  </fonts>
  <fills count="10">
    <fill>
      <patternFill/>
    </fill>
    <fill>
      <patternFill patternType="gray125"/>
    </fill>
    <fill>
      <patternFill patternType="solid">
        <fgColor rgb="FF1F3864"/>
        <bgColor rgb="FF1F3864"/>
      </patternFill>
    </fill>
    <fill>
      <patternFill patternType="solid">
        <fgColor rgb="FF2E75B6"/>
        <bgColor rgb="FF2E75B6"/>
      </patternFill>
    </fill>
    <fill>
      <patternFill patternType="solid">
        <fgColor rgb="FFB8860B"/>
        <bgColor rgb="FFB8860B"/>
      </patternFill>
    </fill>
    <fill>
      <patternFill patternType="solid">
        <fgColor rgb="FFD6E4F7"/>
        <bgColor rgb="FFD6E4F7"/>
      </patternFill>
    </fill>
    <fill>
      <patternFill patternType="solid">
        <fgColor rgb="FFE2EFDA"/>
        <bgColor rgb="FFE2EFDA"/>
      </patternFill>
    </fill>
    <fill>
      <patternFill patternType="solid">
        <fgColor rgb="FFFFFFFF"/>
        <bgColor rgb="FFFFFFFF"/>
      </patternFill>
    </fill>
    <fill>
      <patternFill patternType="solid">
        <fgColor rgb="FFC00000"/>
        <bgColor rgb="FFC00000"/>
      </patternFill>
    </fill>
    <fill>
      <patternFill patternType="solid">
        <fgColor rgb="001F497D"/>
      </patternFill>
    </fill>
  </fills>
  <borders count="5">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bottom/>
      <diagonal/>
    </border>
  </borders>
  <cellStyleXfs count="1">
    <xf numFmtId="0" fontId="0" fillId="0" borderId="4"/>
  </cellStyleXfs>
  <cellXfs count="26">
    <xf numFmtId="0" fontId="0" fillId="0" borderId="0" pivotButton="0" quotePrefix="0" xfId="0"/>
    <xf numFmtId="0" fontId="2" fillId="3" borderId="2" applyAlignment="1" pivotButton="0" quotePrefix="0" xfId="0">
      <alignment horizontal="center" vertical="center" wrapText="1"/>
    </xf>
    <xf numFmtId="0" fontId="3" fillId="0" borderId="2" pivotButton="0" quotePrefix="0" xfId="0"/>
    <xf numFmtId="0" fontId="1" fillId="4" borderId="1" pivotButton="0" quotePrefix="0" xfId="0"/>
    <xf numFmtId="0" fontId="5" fillId="2" borderId="2" applyAlignment="1" pivotButton="0" quotePrefix="0" xfId="0">
      <alignment horizontal="center"/>
    </xf>
    <xf numFmtId="0" fontId="2" fillId="3" borderId="3" applyAlignment="1" pivotButton="0" quotePrefix="0" xfId="0">
      <alignment horizontal="center" vertical="center" wrapText="1"/>
    </xf>
    <xf numFmtId="0" fontId="7" fillId="5" borderId="2" applyAlignment="1" pivotButton="0" quotePrefix="0" xfId="0">
      <alignment horizontal="center"/>
    </xf>
    <xf numFmtId="0" fontId="3" fillId="6" borderId="2" applyAlignment="1" pivotButton="0" quotePrefix="0" xfId="0">
      <alignment horizontal="center"/>
    </xf>
    <xf numFmtId="0" fontId="7" fillId="7" borderId="2" applyAlignment="1" pivotButton="0" quotePrefix="0" xfId="0">
      <alignment horizontal="center"/>
    </xf>
    <xf numFmtId="0" fontId="3" fillId="7" borderId="2" applyAlignment="1" pivotButton="0" quotePrefix="0" xfId="0">
      <alignment horizontal="center"/>
    </xf>
    <xf numFmtId="0" fontId="5" fillId="3" borderId="2" applyAlignment="1" pivotButton="0" quotePrefix="0" xfId="0">
      <alignment horizontal="center"/>
    </xf>
    <xf numFmtId="0" fontId="3" fillId="0" borderId="0" pivotButton="0" quotePrefix="0" xfId="0"/>
    <xf numFmtId="0" fontId="5" fillId="8" borderId="2" applyAlignment="1" pivotButton="0" quotePrefix="0" xfId="0">
      <alignment horizontal="center" wrapText="1"/>
    </xf>
    <xf numFmtId="0" fontId="3" fillId="0" borderId="2" applyAlignment="1" pivotButton="0" quotePrefix="0" xfId="0">
      <alignment vertical="top" wrapText="1"/>
    </xf>
    <xf numFmtId="0" fontId="3" fillId="5" borderId="2" applyAlignment="1" pivotButton="0" quotePrefix="0" xfId="0">
      <alignment vertical="top" wrapText="1"/>
    </xf>
    <xf numFmtId="0" fontId="9" fillId="0" borderId="0" pivotButton="0" quotePrefix="0" xfId="0"/>
    <xf numFmtId="0" fontId="1" fillId="2" borderId="4" applyAlignment="1" pivotButton="0" quotePrefix="0" xfId="0">
      <alignment horizontal="center"/>
    </xf>
    <xf numFmtId="0" fontId="0" fillId="0" borderId="0" pivotButton="0" quotePrefix="0" xfId="0"/>
    <xf numFmtId="0" fontId="6" fillId="0" borderId="0" pivotButton="0" quotePrefix="0" xfId="0"/>
    <xf numFmtId="0" fontId="4" fillId="4" borderId="4" applyAlignment="1" pivotButton="0" quotePrefix="0" xfId="0">
      <alignment horizontal="center"/>
    </xf>
    <xf numFmtId="0" fontId="4" fillId="8" borderId="4" applyAlignment="1" pivotButton="0" quotePrefix="0" xfId="0">
      <alignment horizontal="center"/>
    </xf>
    <xf numFmtId="0" fontId="8" fillId="2" borderId="4" applyAlignment="1" pivotButton="0" quotePrefix="0" xfId="0">
      <alignment horizontal="center" vertical="center"/>
    </xf>
    <xf numFmtId="0" fontId="6" fillId="0" borderId="4" pivotButton="0" quotePrefix="0" xfId="0"/>
    <xf numFmtId="0" fontId="10" fillId="0" borderId="0" applyAlignment="1" pivotButton="0" quotePrefix="0" xfId="0">
      <alignment vertical="top" wrapText="1"/>
    </xf>
    <xf numFmtId="0" fontId="11" fillId="0" borderId="0" pivotButton="0" quotePrefix="0" xfId="0"/>
    <xf numFmtId="0" fontId="12" fillId="9" borderId="0" applyAlignment="1" pivotButton="0" quotePrefix="0" xfId="0">
      <alignment horizontal="center" vertical="center" wrapText="1"/>
    </xf>
  </cellXfs>
  <cellStyles count="1">
    <cellStyle name="Normal" xfId="0" builtinId="0"/>
  </cellStyles>
  <dxfs count="16">
    <dxf>
      <fill>
        <patternFill patternType="solid">
          <fgColor rgb="FFFF0000"/>
          <bgColor rgb="FFFF0000"/>
        </patternFill>
      </fill>
    </dxf>
    <dxf>
      <fill>
        <patternFill patternType="solid">
          <fgColor rgb="FF70AD47"/>
          <bgColor rgb="FF70AD47"/>
        </patternFill>
      </fill>
    </dxf>
    <dxf>
      <fill>
        <patternFill patternType="solid">
          <fgColor rgb="FFFF0000"/>
          <bgColor rgb="FFFF0000"/>
        </patternFill>
      </fill>
    </dxf>
    <dxf>
      <fill>
        <patternFill patternType="solid">
          <fgColor rgb="FF70AD47"/>
          <bgColor rgb="FF70AD47"/>
        </patternFill>
      </fill>
    </dxf>
    <dxf>
      <fill>
        <patternFill patternType="solid">
          <fgColor rgb="FFFF0000"/>
          <bgColor rgb="FFFF0000"/>
        </patternFill>
      </fill>
    </dxf>
    <dxf>
      <fill>
        <patternFill patternType="solid">
          <fgColor rgb="FF70AD47"/>
          <bgColor rgb="FF70AD47"/>
        </patternFill>
      </fill>
    </dxf>
    <dxf>
      <fill>
        <patternFill patternType="solid">
          <fgColor rgb="FFFF0000"/>
          <bgColor rgb="FFFF0000"/>
        </patternFill>
      </fill>
    </dxf>
    <dxf>
      <fill>
        <patternFill patternType="solid">
          <fgColor rgb="FF70AD47"/>
          <bgColor rgb="FF70AD47"/>
        </patternFill>
      </fill>
    </dxf>
    <dxf>
      <fill>
        <patternFill patternType="solid">
          <fgColor rgb="FFFF0000"/>
          <bgColor rgb="FFFF0000"/>
        </patternFill>
      </fill>
    </dxf>
    <dxf>
      <fill>
        <patternFill patternType="solid">
          <fgColor rgb="FF70AD47"/>
          <bgColor rgb="FF70AD47"/>
        </patternFill>
      </fill>
    </dxf>
    <dxf>
      <fill>
        <patternFill patternType="solid">
          <fgColor rgb="FFFF0000"/>
          <bgColor rgb="FFFF0000"/>
        </patternFill>
      </fill>
    </dxf>
    <dxf>
      <fill>
        <patternFill patternType="solid">
          <fgColor rgb="FF70AD47"/>
          <bgColor rgb="FF70AD47"/>
        </patternFill>
      </fill>
    </dxf>
    <dxf>
      <fill>
        <patternFill patternType="solid">
          <fgColor rgb="FFFF0000"/>
          <bgColor rgb="FFFF0000"/>
        </patternFill>
      </fill>
    </dxf>
    <dxf>
      <fill>
        <patternFill patternType="solid">
          <fgColor rgb="FF70AD47"/>
          <bgColor rgb="FF70AD47"/>
        </patternFill>
      </fill>
    </dxf>
    <dxf>
      <fill>
        <patternFill patternType="solid">
          <fgColor rgb="FFFF0000"/>
          <bgColor rgb="FFFF0000"/>
        </patternFill>
      </fill>
    </dxf>
    <dxf>
      <fill>
        <patternFill patternType="solid">
          <fgColor rgb="FF70AD47"/>
          <bgColor rgb="FF70AD4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externalLink" Target="/xl/externalLinks/externalLink1.xml" Id="rId19"/><Relationship Type="http://schemas.openxmlformats.org/officeDocument/2006/relationships/externalLink" Target="/xl/externalLinks/externalLink2.xml" Id="rId20"/><Relationship Type="http://schemas.openxmlformats.org/officeDocument/2006/relationships/externalLink" Target="/xl/externalLinks/externalLink3.xml" Id="rId21"/><Relationship Type="http://schemas.openxmlformats.org/officeDocument/2006/relationships/externalLink" Target="/xl/externalLinks/externalLink4.xml" Id="rId22"/><Relationship Type="http://schemas.openxmlformats.org/officeDocument/2006/relationships/externalLink" Target="/xl/externalLinks/externalLink5.xml" Id="rId23"/><Relationship Type="http://schemas.openxmlformats.org/officeDocument/2006/relationships/externalLink" Target="/xl/externalLinks/externalLink6.xml" Id="rId24"/><Relationship Type="http://schemas.openxmlformats.org/officeDocument/2006/relationships/styles" Target="styles.xml" Id="rId25"/><Relationship Type="http://schemas.openxmlformats.org/officeDocument/2006/relationships/theme" Target="theme/theme1.xml" Id="rId26"/></Relationships>
</file>

<file path=xl/externalLinks/_rels/externalLink1.xml.rels><Relationships xmlns="http://schemas.openxmlformats.org/package/2006/relationships"><Relationship Type="http://schemas.microsoft.com/office/2006/relationships/xlExternalLinkPath/xlPathMissing" Target="&#129514;%20TC_PR01" TargetMode="External" Id="rId1"/></Relationships>
</file>

<file path=xl/externalLinks/_rels/externalLink2.xml.rels><Relationships xmlns="http://schemas.openxmlformats.org/package/2006/relationships"><Relationship Type="http://schemas.microsoft.com/office/2006/relationships/xlExternalLinkPath/xlPathMissing" Target="&#129514;%20TC_PR02" TargetMode="External" Id="rId1"/></Relationships>
</file>

<file path=xl/externalLinks/_rels/externalLink3.xml.rels><Relationships xmlns="http://schemas.openxmlformats.org/package/2006/relationships"><Relationship Type="http://schemas.microsoft.com/office/2006/relationships/xlExternalLinkPath/xlPathMissing" Target="&#129514;%20TC_OT01" TargetMode="External" Id="rId1"/></Relationships>
</file>

<file path=xl/externalLinks/_rels/externalLink4.xml.rels><Relationships xmlns="http://schemas.openxmlformats.org/package/2006/relationships"><Relationship Type="http://schemas.microsoft.com/office/2006/relationships/xlExternalLinkPath/xlPathMissing" Target="&#129514;%20TC_SA" TargetMode="External" Id="rId1"/></Relationships>
</file>

<file path=xl/externalLinks/_rels/externalLink5.xml.rels><Relationships xmlns="http://schemas.openxmlformats.org/package/2006/relationships"><Relationship Type="http://schemas.microsoft.com/office/2006/relationships/xlExternalLinkPath/xlPathMissing" Target="&#129514;%20TC_SE" TargetMode="External" Id="rId1"/></Relationships>
</file>

<file path=xl/externalLinks/_rels/externalLink6.xml.rels><Relationships xmlns="http://schemas.openxmlformats.org/package/2006/relationships"><Relationship Type="http://schemas.microsoft.com/office/2006/relationships/xlExternalLinkPath/xlPathMissing" Target="&#129514;%20TC_RP"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 TC_PR01"/>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 TC_PR02"/>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 TC_OT01"/>
    </sheetNames>
    <sheetDataSet>
      <sheetData sheetId="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 TC_SA"/>
    </sheetNames>
    <sheetDataSet>
      <sheetData sheetId="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 TC_SE"/>
    </sheetNames>
    <sheetDataSet>
      <sheetData sheetId="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 TC_RP"/>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FFFF00"/>
    <outlinePr summaryBelow="1" summaryRight="1"/>
    <pageSetUpPr/>
  </sheetPr>
  <dimension ref="A1:G11"/>
  <sheetViews>
    <sheetView workbookViewId="0">
      <selection activeCell="A1" sqref="A1:F1"/>
    </sheetView>
  </sheetViews>
  <sheetFormatPr baseColWidth="10" defaultColWidth="14.5" defaultRowHeight="15" customHeight="1"/>
  <cols>
    <col width="8.6640625" customWidth="1" style="17" min="1" max="26"/>
  </cols>
  <sheetData>
    <row r="1" ht="19" customHeight="1" s="17">
      <c r="A1" s="16" t="inlineStr">
        <is>
          <t>📊 QA DASHBOARD — PROFIX PHASE 1</t>
        </is>
      </c>
    </row>
    <row r="3" ht="32" customHeight="1" s="17">
      <c r="A3" s="1" t="inlineStr">
        <is>
          <t>Sheet Name</t>
        </is>
      </c>
      <c r="B3" s="1" t="inlineStr">
        <is>
          <t>Total TCs</t>
        </is>
      </c>
      <c r="C3" s="1" t="inlineStr">
        <is>
          <t>✅ Passed</t>
        </is>
      </c>
      <c r="D3" s="1" t="inlineStr">
        <is>
          <t>❌ Failed</t>
        </is>
      </c>
      <c r="E3" s="1" t="inlineStr">
        <is>
          <t>🟠 Blocked</t>
        </is>
      </c>
      <c r="F3" s="1" t="inlineStr">
        <is>
          <t>Doing</t>
        </is>
      </c>
      <c r="G3" s="1" t="inlineStr">
        <is>
          <t>Pass Rate (%)</t>
        </is>
      </c>
    </row>
    <row r="4">
      <c r="A4" s="2" t="inlineStr">
        <is>
          <t>II.5.1.1.2</t>
        </is>
      </c>
      <c r="B4" s="2">
        <f>COUNTA('II.5.1.1.2'!A:A)-2</f>
        <v/>
      </c>
      <c r="C4" s="2">
        <f>COUNTIF('II.5.1.1.2'!U:U,"Pass")</f>
        <v/>
      </c>
      <c r="D4" s="2">
        <f>COUNTIF('II.5.1.1.2'!U:U,"Fail")</f>
        <v/>
      </c>
      <c r="E4" s="2">
        <f>COUNTIF('II.5.1.1.2'!U:U,"Blocked")</f>
        <v/>
      </c>
      <c r="F4" s="2">
        <f>COUNTIF('II.5.1.1.2'!U:U,"Doing")</f>
        <v/>
      </c>
      <c r="G4" s="2">
        <f>IFERROR(ROUND(C4/B4*100,1),0)</f>
        <v/>
      </c>
    </row>
    <row r="5">
      <c r="A5" s="2" t="inlineStr">
        <is>
          <t>II.5.1.1.3</t>
        </is>
      </c>
      <c r="B5" s="2">
        <f>COUNTA('II.5.1.1.3'!A:A)-2</f>
        <v/>
      </c>
      <c r="C5" s="2">
        <f>COUNTIF('II.5.1.1.3'!U:U,"Pass")</f>
        <v/>
      </c>
      <c r="D5" s="2">
        <f>COUNTIF('II.5.1.1.3'!U:U,"Fail")</f>
        <v/>
      </c>
      <c r="E5" s="2">
        <f>COUNTIF('II.5.1.1.3'!U:U,"Blocked")</f>
        <v/>
      </c>
      <c r="F5" s="2">
        <f>COUNTIF('II.5.1.1.3'!U:U,"Doing")</f>
        <v/>
      </c>
      <c r="G5" s="2">
        <f>IFERROR(ROUND(C5/B5*100,1),0)</f>
        <v/>
      </c>
    </row>
    <row r="6">
      <c r="A6" s="2" t="inlineStr">
        <is>
          <t>II.5.1.1.4</t>
        </is>
      </c>
      <c r="B6" s="2">
        <f>COUNTA('II.5.1.1.4'!A:A)-2</f>
        <v/>
      </c>
      <c r="C6" s="2">
        <f>COUNTIF('II.5.1.1.4'!U:U,"Pass")</f>
        <v/>
      </c>
      <c r="D6" s="2">
        <f>COUNTIF('II.5.1.1.4'!U:U,"Fail")</f>
        <v/>
      </c>
      <c r="E6" s="2">
        <f>COUNTIF('II.5.1.1.4'!U:U,"Blocked")</f>
        <v/>
      </c>
      <c r="F6" s="2">
        <f>COUNTIF('II.5.1.1.4'!U:U,"Doing")</f>
        <v/>
      </c>
      <c r="G6" s="2">
        <f>IFERROR(ROUND(C6/B6*100,1),0)</f>
        <v/>
      </c>
    </row>
    <row r="7">
      <c r="A7" s="2" t="inlineStr">
        <is>
          <t>II.5.1.1.5</t>
        </is>
      </c>
      <c r="B7" s="2">
        <f>COUNTA('II.5.1.1.5'!A:A)-2</f>
        <v/>
      </c>
      <c r="C7" s="2">
        <f>COUNTIF('II.5.1.1.5'!U:U,"Pass")</f>
        <v/>
      </c>
      <c r="D7" s="2">
        <f>COUNTIF('II.5.1.1.5'!U:U,"Fail")</f>
        <v/>
      </c>
      <c r="E7" s="2">
        <f>COUNTIF('II.5.1.1.5'!U:U,"Blocked")</f>
        <v/>
      </c>
      <c r="F7" s="2">
        <f>COUNTIF('II.5.1.1.5'!U:U,"Doing")</f>
        <v/>
      </c>
      <c r="G7" s="2">
        <f>IFERROR(ROUND(C7/B7*100,1),0)</f>
        <v/>
      </c>
    </row>
    <row r="8">
      <c r="A8" s="2" t="inlineStr">
        <is>
          <t>II.5.1.1.6</t>
        </is>
      </c>
      <c r="B8" s="2">
        <f>COUNTA('II.5.1.1.6'!A:A)-2</f>
        <v/>
      </c>
      <c r="C8" s="2">
        <f>COUNTIF('II.5.1.1.6'!U:U,"Pass")</f>
        <v/>
      </c>
      <c r="D8" s="2">
        <f>COUNTIF('II.5.1.1.6'!U:U,"Fail")</f>
        <v/>
      </c>
      <c r="E8" s="2">
        <f>COUNTIF('II.5.1.1.6'!U:U,"Blocked")</f>
        <v/>
      </c>
      <c r="F8" s="2">
        <f>COUNTIF('II.5.1.1.6'!U:U,"Doing")</f>
        <v/>
      </c>
      <c r="G8" s="2">
        <f>IFERROR(ROUND(C8/B8*100,1),0)</f>
        <v/>
      </c>
    </row>
    <row r="9">
      <c r="A9" s="2" t="inlineStr">
        <is>
          <t>II.5.1.2</t>
        </is>
      </c>
      <c r="B9" s="2">
        <f>COUNTA('II.5.1.2'!A:A)-2</f>
        <v/>
      </c>
      <c r="C9" s="2">
        <f>COUNTIF('II.5.1.2'!U:U,"Pass")</f>
        <v/>
      </c>
      <c r="D9" s="2">
        <f>COUNTIF('II.5.1.2'!U:U,"Fail")</f>
        <v/>
      </c>
      <c r="E9" s="2">
        <f>COUNTIF('II.5.1.2'!U:U,"Blocked")</f>
        <v/>
      </c>
      <c r="F9" s="2">
        <f>COUNTIF('II.5.1.2'!U:U,"Doing")</f>
        <v/>
      </c>
      <c r="G9" s="2">
        <f>IFERROR(ROUND(C9/B9*100,1),0)</f>
        <v/>
      </c>
    </row>
    <row r="10">
      <c r="A10" s="2" t="inlineStr">
        <is>
          <t>II.5.1.3</t>
        </is>
      </c>
      <c r="B10" s="2">
        <f>COUNTA('II.5.1.3'!A:A)-2</f>
        <v/>
      </c>
      <c r="C10" s="2">
        <f>COUNTIF('II.5.1.3'!U:U,"Pass")</f>
        <v/>
      </c>
      <c r="D10" s="2">
        <f>COUNTIF('II.5.1.3'!U:U,"Fail")</f>
        <v/>
      </c>
      <c r="E10" s="2">
        <f>COUNTIF('II.5.1.3'!U:U,"Blocked")</f>
        <v/>
      </c>
      <c r="F10" s="2">
        <f>COUNTIF('II.5.1.3'!U:U,"Doing")</f>
        <v/>
      </c>
      <c r="G10" s="2">
        <f>IFERROR(ROUND(C10/B10*100,1),0)</f>
        <v/>
      </c>
    </row>
    <row r="11">
      <c r="A11" s="2" t="inlineStr">
        <is>
          <t>II.5.1.4</t>
        </is>
      </c>
      <c r="B11" s="2">
        <f>COUNTA('II.5.1.4'!A:A)-2</f>
        <v/>
      </c>
      <c r="C11" s="2">
        <f>COUNTIF('II.5.1.4'!U:U,"Pass")</f>
        <v/>
      </c>
      <c r="D11" s="2">
        <f>COUNTIF('II.5.1.4'!U:U,"Fail")</f>
        <v/>
      </c>
      <c r="E11" s="2">
        <f>COUNTIF('II.5.1.4'!U:U,"Blocked")</f>
        <v/>
      </c>
      <c r="F11" s="2">
        <f>COUNTIF('II.5.1.4'!U:U,"Doing")</f>
        <v/>
      </c>
      <c r="G11" s="2">
        <f>IFERROR(ROUND(C11/B11*100,1),0)</f>
        <v/>
      </c>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1">
    <mergeCell ref="A1:F1"/>
  </mergeCells>
  <pageMargins left="0.75" right="0.75" top="1" bottom="1" header="0" footer="0"/>
  <pageSetup orientation="landscape"/>
</worksheet>
</file>

<file path=xl/worksheets/sheet2.xml><?xml version="1.0" encoding="utf-8"?>
<worksheet xmlns="http://schemas.openxmlformats.org/spreadsheetml/2006/main">
  <sheetPr>
    <tabColor rgb="FF00FF00"/>
    <outlinePr summaryBelow="1" summaryRight="1"/>
    <pageSetUpPr/>
  </sheetPr>
  <dimension ref="A1:G14"/>
  <sheetViews>
    <sheetView workbookViewId="0">
      <selection activeCell="A1" sqref="A1"/>
    </sheetView>
  </sheetViews>
  <sheetFormatPr baseColWidth="10" defaultColWidth="14.5" defaultRowHeight="15" customHeight="1"/>
  <cols>
    <col width="30.5" customWidth="1" style="17" min="1" max="1"/>
    <col width="16.33203125" customWidth="1" style="17" min="2" max="2"/>
    <col width="9.33203125" customWidth="1" style="17" min="3" max="3"/>
    <col width="8.6640625" customWidth="1" style="17" min="4" max="26"/>
  </cols>
  <sheetData>
    <row r="1" ht="19" customHeight="1" s="17">
      <c r="A1" s="19" t="inlineStr">
        <is>
          <t>📅 DAILY TEST TRACKING — PROFIX PHASE 1 (TC Executed per Day)</t>
        </is>
      </c>
      <c r="G1" s="3" t="n"/>
    </row>
    <row r="2" ht="16" customHeight="1" s="17">
      <c r="A2" s="4" t="inlineStr">
        <is>
          <t>Ngày</t>
        </is>
      </c>
      <c r="B2" s="4" t="inlineStr">
        <is>
          <t>Tổng TC Executed</t>
        </is>
      </c>
      <c r="C2" s="4" t="inlineStr">
        <is>
          <t>Định</t>
        </is>
      </c>
      <c r="D2" s="4" t="inlineStr">
        <is>
          <t>Thanh</t>
        </is>
      </c>
      <c r="E2" s="4" t="inlineStr">
        <is>
          <t>Vân Anh</t>
        </is>
      </c>
      <c r="F2" s="4" t="inlineStr">
        <is>
          <t>....</t>
        </is>
      </c>
      <c r="G2" s="5" t="inlineStr">
        <is>
          <t>Note</t>
        </is>
      </c>
    </row>
    <row r="3">
      <c r="A3" s="22" t="inlineStr">
        <is>
          <t>💡 Hướng dẫn: Tester điền tên vào cột P (Tester) và ngày vào cột Q (Exec Date) ở mỗi TC sheet. Sheet này sẽ tự động đếm theo COUNTIFS.</t>
        </is>
      </c>
    </row>
    <row r="4">
      <c r="A4" s="6" t="inlineStr">
        <is>
          <t>18/03</t>
        </is>
      </c>
      <c r="B4" s="6">
        <f>COUNTIF('[1]🧪 TC_PR01'!Q:Q,"18/03")+COUNTIF('[2]🧪 TC_PR02'!Q:Q,"18/03")+COUNTIF('[3]🧪 TC_OT01'!Q:Q,"18/03")+COUNTIF('[4]🧪 TC_SA'!Q:Q,"18/03")+COUNTIF('[5]🧪 TC_SE'!Q:Q,"18/03")+COUNTIF('[6]🧪 TC_RP'!Q:Q,"18/03")</f>
        <v/>
      </c>
      <c r="C4" s="7">
        <f>COUNTIFS('[1]🧪 TC_PR01'!P:P,"Định",'[1]🧪 TC_PR01'!Q:Q,"18/03")+COUNTIFS('[2]🧪 TC_PR02'!P:P,"Định",'[2]🧪 TC_PR02'!Q:Q,"18/03")+COUNTIFS('[3]🧪 TC_OT01'!P:P,"Định",'[3]🧪 TC_OT01'!Q:Q,"18/03")+COUNTIFS('[4]🧪 TC_SA'!P:P,"Định",'[4]🧪 TC_SA'!Q:Q,"18/03")+COUNTIFS('[5]🧪 TC_SE'!P:P,"Định",'[5]🧪 TC_SE'!Q:Q,"18/03")+COUNTIFS('[6]🧪 TC_RP'!P:P,"Định",'[6]🧪 TC_RP'!Q:Q,"18/03")</f>
        <v/>
      </c>
      <c r="D4" s="7">
        <f>COUNTIFS('[1]🧪 TC_PR01'!P:P,"Thanh",'[1]🧪 TC_PR01'!Q:Q,"18/03")+COUNTIFS('[2]🧪 TC_PR02'!P:P,"Thanh",'[2]🧪 TC_PR02'!Q:Q,"18/03")+COUNTIFS('[3]🧪 TC_OT01'!P:P,"Thanh",'[3]🧪 TC_OT01'!Q:Q,"18/03")+COUNTIFS('[4]🧪 TC_SA'!P:P,"Thanh",'[4]🧪 TC_SA'!Q:Q,"18/03")+COUNTIFS('[5]🧪 TC_SE'!P:P,"Thanh",'[5]🧪 TC_SE'!Q:Q,"18/03")+COUNTIFS('[6]🧪 TC_RP'!P:P,"Thanh",'[6]🧪 TC_RP'!Q:Q,"18/03")</f>
        <v/>
      </c>
      <c r="E4" s="7">
        <f>COUNTIFS('[1]🧪 TC_PR01'!P:P,"Vân Anh",'[1]🧪 TC_PR01'!Q:Q,"18/03")+COUNTIFS('[2]🧪 TC_PR02'!P:P,"Vân Anh",'[2]🧪 TC_PR02'!Q:Q,"18/03")+COUNTIFS('[3]🧪 TC_OT01'!P:P,"Vân Anh",'[3]🧪 TC_OT01'!Q:Q,"18/03")+COUNTIFS('[4]🧪 TC_SA'!P:P,"Vân Anh",'[4]🧪 TC_SA'!Q:Q,"18/03")+COUNTIFS('[5]🧪 TC_SE'!P:P,"Vân Anh",'[5]🧪 TC_SE'!Q:Q,"18/03")+COUNTIFS('[6]🧪 TC_RP'!P:P,"Vân Anh",'[6]🧪 TC_RP'!Q:Q,"18/03")</f>
        <v/>
      </c>
      <c r="F4" s="7">
        <f>COUNTIFS('[1]🧪 TC_PR01'!P:P,"Hiệp",'[1]🧪 TC_PR01'!Q:Q,"18/03")+COUNTIFS('[2]🧪 TC_PR02'!P:P,"Hiệp",'[2]🧪 TC_PR02'!Q:Q,"18/03")+COUNTIFS('[3]🧪 TC_OT01'!P:P,"Hiệp",'[3]🧪 TC_OT01'!Q:Q,"18/03")+COUNTIFS('[4]🧪 TC_SA'!P:P,"Hiệp",'[4]🧪 TC_SA'!Q:Q,"18/03")+COUNTIFS('[5]🧪 TC_SE'!P:P,"Hiệp",'[5]🧪 TC_SE'!Q:Q,"18/03")+COUNTIFS('[6]🧪 TC_RP'!P:P,"Hiệp",'[6]🧪 TC_RP'!Q:Q,"18/03")</f>
        <v/>
      </c>
    </row>
    <row r="5">
      <c r="A5" s="8" t="inlineStr">
        <is>
          <t>19/03</t>
        </is>
      </c>
      <c r="B5" s="6">
        <f>COUNTIF('[1]🧪 TC_PR01'!Q:Q,"19/03")+COUNTIF('[2]🧪 TC_PR02'!Q:Q,"19/03")+COUNTIF('[3]🧪 TC_OT01'!Q:Q,"19/03")+COUNTIF('[4]🧪 TC_SA'!Q:Q,"19/03")+COUNTIF('[5]🧪 TC_SE'!Q:Q,"19/03")+COUNTIF('[6]🧪 TC_RP'!Q:Q,"19/03")</f>
        <v/>
      </c>
      <c r="C5" s="9">
        <f>COUNTIFS('[1]🧪 TC_PR01'!P:P,"Định",'[1]🧪 TC_PR01'!Q:Q,"19/03")+COUNTIFS('[2]🧪 TC_PR02'!P:P,"Định",'[2]🧪 TC_PR02'!Q:Q,"19/03")+COUNTIFS('[3]🧪 TC_OT01'!P:P,"Định",'[3]🧪 TC_OT01'!Q:Q,"19/03")+COUNTIFS('[4]🧪 TC_SA'!P:P,"Định",'[4]🧪 TC_SA'!Q:Q,"19/03")+COUNTIFS('[5]🧪 TC_SE'!P:P,"Định",'[5]🧪 TC_SE'!Q:Q,"19/03")+COUNTIFS('[6]🧪 TC_RP'!P:P,"Định",'[6]🧪 TC_RP'!Q:Q,"19/03")</f>
        <v/>
      </c>
      <c r="D5" s="9">
        <f>COUNTIFS('[1]🧪 TC_PR01'!P:P,"Thanh",'[1]🧪 TC_PR01'!Q:Q,"19/03")+COUNTIFS('[2]🧪 TC_PR02'!P:P,"Thanh",'[2]🧪 TC_PR02'!Q:Q,"19/03")+COUNTIFS('[3]🧪 TC_OT01'!P:P,"Thanh",'[3]🧪 TC_OT01'!Q:Q,"19/03")+COUNTIFS('[4]🧪 TC_SA'!P:P,"Thanh",'[4]🧪 TC_SA'!Q:Q,"19/03")+COUNTIFS('[5]🧪 TC_SE'!P:P,"Thanh",'[5]🧪 TC_SE'!Q:Q,"19/03")+COUNTIFS('[6]🧪 TC_RP'!P:P,"Thanh",'[6]🧪 TC_RP'!Q:Q,"19/03")</f>
        <v/>
      </c>
      <c r="E5" s="9">
        <f>COUNTIFS('[1]🧪 TC_PR01'!P:P,"Vân Anh",'[1]🧪 TC_PR01'!Q:Q,"19/03")+COUNTIFS('[2]🧪 TC_PR02'!P:P,"Vân Anh",'[2]🧪 TC_PR02'!Q:Q,"19/03")+COUNTIFS('[3]🧪 TC_OT01'!P:P,"Vân Anh",'[3]🧪 TC_OT01'!Q:Q,"19/03")+COUNTIFS('[4]🧪 TC_SA'!P:P,"Vân Anh",'[4]🧪 TC_SA'!Q:Q,"19/03")+COUNTIFS('[5]🧪 TC_SE'!P:P,"Vân Anh",'[5]🧪 TC_SE'!Q:Q,"19/03")+COUNTIFS('[6]🧪 TC_RP'!P:P,"Vân Anh",'[6]🧪 TC_RP'!Q:Q,"19/03")</f>
        <v/>
      </c>
      <c r="F5" s="9">
        <f>COUNTIFS('[1]🧪 TC_PR01'!P:P,"Hiệp",'[1]🧪 TC_PR01'!Q:Q,"19/03")+COUNTIFS('[2]🧪 TC_PR02'!P:P,"Hiệp",'[2]🧪 TC_PR02'!Q:Q,"19/03")+COUNTIFS('[3]🧪 TC_OT01'!P:P,"Hiệp",'[3]🧪 TC_OT01'!Q:Q,"19/03")+COUNTIFS('[4]🧪 TC_SA'!P:P,"Hiệp",'[4]🧪 TC_SA'!Q:Q,"19/03")+COUNTIFS('[5]🧪 TC_SE'!P:P,"Hiệp",'[5]🧪 TC_SE'!Q:Q,"19/03")+COUNTIFS('[6]🧪 TC_RP'!P:P,"Hiệp",'[6]🧪 TC_RP'!Q:Q,"19/03")</f>
        <v/>
      </c>
    </row>
    <row r="6">
      <c r="A6" s="6" t="inlineStr">
        <is>
          <t>20/03</t>
        </is>
      </c>
      <c r="B6" s="6">
        <f>COUNTIF('[1]🧪 TC_PR01'!Q:Q,"20/03")+COUNTIF('[2]🧪 TC_PR02'!Q:Q,"20/03")+COUNTIF('[3]🧪 TC_OT01'!Q:Q,"20/03")+COUNTIF('[4]🧪 TC_SA'!Q:Q,"20/03")+COUNTIF('[5]🧪 TC_SE'!Q:Q,"20/03")+COUNTIF('[6]🧪 TC_RP'!Q:Q,"20/03")</f>
        <v/>
      </c>
      <c r="C6" s="7">
        <f>COUNTIFS('[1]🧪 TC_PR01'!P:P,"Định",'[1]🧪 TC_PR01'!Q:Q,"20/03")+COUNTIFS('[2]🧪 TC_PR02'!P:P,"Định",'[2]🧪 TC_PR02'!Q:Q,"20/03")+COUNTIFS('[3]🧪 TC_OT01'!P:P,"Định",'[3]🧪 TC_OT01'!Q:Q,"20/03")+COUNTIFS('[4]🧪 TC_SA'!P:P,"Định",'[4]🧪 TC_SA'!Q:Q,"20/03")+COUNTIFS('[5]🧪 TC_SE'!P:P,"Định",'[5]🧪 TC_SE'!Q:Q,"20/03")+COUNTIFS('[6]🧪 TC_RP'!P:P,"Định",'[6]🧪 TC_RP'!Q:Q,"20/03")</f>
        <v/>
      </c>
      <c r="D6" s="7">
        <f>COUNTIFS('[1]🧪 TC_PR01'!P:P,"Thanh",'[1]🧪 TC_PR01'!Q:Q,"20/03")+COUNTIFS('[2]🧪 TC_PR02'!P:P,"Thanh",'[2]🧪 TC_PR02'!Q:Q,"20/03")+COUNTIFS('[3]🧪 TC_OT01'!P:P,"Thanh",'[3]🧪 TC_OT01'!Q:Q,"20/03")+COUNTIFS('[4]🧪 TC_SA'!P:P,"Thanh",'[4]🧪 TC_SA'!Q:Q,"20/03")+COUNTIFS('[5]🧪 TC_SE'!P:P,"Thanh",'[5]🧪 TC_SE'!Q:Q,"20/03")+COUNTIFS('[6]🧪 TC_RP'!P:P,"Thanh",'[6]🧪 TC_RP'!Q:Q,"20/03")</f>
        <v/>
      </c>
      <c r="E6" s="7">
        <f>COUNTIFS('[1]🧪 TC_PR01'!P:P,"Vân Anh",'[1]🧪 TC_PR01'!Q:Q,"20/03")+COUNTIFS('[2]🧪 TC_PR02'!P:P,"Vân Anh",'[2]🧪 TC_PR02'!Q:Q,"20/03")+COUNTIFS('[3]🧪 TC_OT01'!P:P,"Vân Anh",'[3]🧪 TC_OT01'!Q:Q,"20/03")+COUNTIFS('[4]🧪 TC_SA'!P:P,"Vân Anh",'[4]🧪 TC_SA'!Q:Q,"20/03")+COUNTIFS('[5]🧪 TC_SE'!P:P,"Vân Anh",'[5]🧪 TC_SE'!Q:Q,"20/03")+COUNTIFS('[6]🧪 TC_RP'!P:P,"Vân Anh",'[6]🧪 TC_RP'!Q:Q,"20/03")</f>
        <v/>
      </c>
      <c r="F6" s="7">
        <f>COUNTIFS('[1]🧪 TC_PR01'!P:P,"Hiệp",'[1]🧪 TC_PR01'!Q:Q,"20/03")+COUNTIFS('[2]🧪 TC_PR02'!P:P,"Hiệp",'[2]🧪 TC_PR02'!Q:Q,"20/03")+COUNTIFS('[3]🧪 TC_OT01'!P:P,"Hiệp",'[3]🧪 TC_OT01'!Q:Q,"20/03")+COUNTIFS('[4]🧪 TC_SA'!P:P,"Hiệp",'[4]🧪 TC_SA'!Q:Q,"20/03")+COUNTIFS('[5]🧪 TC_SE'!P:P,"Hiệp",'[5]🧪 TC_SE'!Q:Q,"20/03")+COUNTIFS('[6]🧪 TC_RP'!P:P,"Hiệp",'[6]🧪 TC_RP'!Q:Q,"20/03")</f>
        <v/>
      </c>
    </row>
    <row r="7">
      <c r="A7" s="8" t="inlineStr">
        <is>
          <t>21/03</t>
        </is>
      </c>
      <c r="B7" s="6">
        <f>COUNTIF('[1]🧪 TC_PR01'!Q:Q,"21/03")+COUNTIF('[2]🧪 TC_PR02'!Q:Q,"21/03")+COUNTIF('[3]🧪 TC_OT01'!Q:Q,"21/03")+COUNTIF('[4]🧪 TC_SA'!Q:Q,"21/03")+COUNTIF('[5]🧪 TC_SE'!Q:Q,"21/03")+COUNTIF('[6]🧪 TC_RP'!Q:Q,"21/03")</f>
        <v/>
      </c>
      <c r="C7" s="9">
        <f>COUNTIFS('[1]🧪 TC_PR01'!P:P,"Định",'[1]🧪 TC_PR01'!Q:Q,"21/03")+COUNTIFS('[2]🧪 TC_PR02'!P:P,"Định",'[2]🧪 TC_PR02'!Q:Q,"21/03")+COUNTIFS('[3]🧪 TC_OT01'!P:P,"Định",'[3]🧪 TC_OT01'!Q:Q,"21/03")+COUNTIFS('[4]🧪 TC_SA'!P:P,"Định",'[4]🧪 TC_SA'!Q:Q,"21/03")+COUNTIFS('[5]🧪 TC_SE'!P:P,"Định",'[5]🧪 TC_SE'!Q:Q,"21/03")+COUNTIFS('[6]🧪 TC_RP'!P:P,"Định",'[6]🧪 TC_RP'!Q:Q,"21/03")</f>
        <v/>
      </c>
      <c r="D7" s="9">
        <f>COUNTIFS('[1]🧪 TC_PR01'!P:P,"Thanh",'[1]🧪 TC_PR01'!Q:Q,"21/03")+COUNTIFS('[2]🧪 TC_PR02'!P:P,"Thanh",'[2]🧪 TC_PR02'!Q:Q,"21/03")+COUNTIFS('[3]🧪 TC_OT01'!P:P,"Thanh",'[3]🧪 TC_OT01'!Q:Q,"21/03")+COUNTIFS('[4]🧪 TC_SA'!P:P,"Thanh",'[4]🧪 TC_SA'!Q:Q,"21/03")+COUNTIFS('[5]🧪 TC_SE'!P:P,"Thanh",'[5]🧪 TC_SE'!Q:Q,"21/03")+COUNTIFS('[6]🧪 TC_RP'!P:P,"Thanh",'[6]🧪 TC_RP'!Q:Q,"21/03")</f>
        <v/>
      </c>
      <c r="E7" s="9">
        <f>COUNTIFS('[1]🧪 TC_PR01'!P:P,"Vân Anh",'[1]🧪 TC_PR01'!Q:Q,"21/03")+COUNTIFS('[2]🧪 TC_PR02'!P:P,"Vân Anh",'[2]🧪 TC_PR02'!Q:Q,"21/03")+COUNTIFS('[3]🧪 TC_OT01'!P:P,"Vân Anh",'[3]🧪 TC_OT01'!Q:Q,"21/03")+COUNTIFS('[4]🧪 TC_SA'!P:P,"Vân Anh",'[4]🧪 TC_SA'!Q:Q,"21/03")+COUNTIFS('[5]🧪 TC_SE'!P:P,"Vân Anh",'[5]🧪 TC_SE'!Q:Q,"21/03")+COUNTIFS('[6]🧪 TC_RP'!P:P,"Vân Anh",'[6]🧪 TC_RP'!Q:Q,"21/03")</f>
        <v/>
      </c>
      <c r="F7" s="9">
        <f>COUNTIFS('[1]🧪 TC_PR01'!P:P,"Hiệp",'[1]🧪 TC_PR01'!Q:Q,"21/03")+COUNTIFS('[2]🧪 TC_PR02'!P:P,"Hiệp",'[2]🧪 TC_PR02'!Q:Q,"21/03")+COUNTIFS('[3]🧪 TC_OT01'!P:P,"Hiệp",'[3]🧪 TC_OT01'!Q:Q,"21/03")+COUNTIFS('[4]🧪 TC_SA'!P:P,"Hiệp",'[4]🧪 TC_SA'!Q:Q,"21/03")+COUNTIFS('[5]🧪 TC_SE'!P:P,"Hiệp",'[5]🧪 TC_SE'!Q:Q,"21/03")+COUNTIFS('[6]🧪 TC_RP'!P:P,"Hiệp",'[6]🧪 TC_RP'!Q:Q,"21/03")</f>
        <v/>
      </c>
    </row>
    <row r="8">
      <c r="A8" s="6" t="inlineStr">
        <is>
          <t>24/03</t>
        </is>
      </c>
      <c r="B8" s="6">
        <f>COUNTIF('[1]🧪 TC_PR01'!Q:Q,"24/03")+COUNTIF('[2]🧪 TC_PR02'!Q:Q,"24/03")+COUNTIF('[3]🧪 TC_OT01'!Q:Q,"24/03")+COUNTIF('[4]🧪 TC_SA'!Q:Q,"24/03")+COUNTIF('[5]🧪 TC_SE'!Q:Q,"24/03")+COUNTIF('[6]🧪 TC_RP'!Q:Q,"24/03")</f>
        <v/>
      </c>
      <c r="C8" s="7">
        <f>COUNTIFS('[1]🧪 TC_PR01'!P:P,"Định",'[1]🧪 TC_PR01'!Q:Q,"24/03")+COUNTIFS('[2]🧪 TC_PR02'!P:P,"Định",'[2]🧪 TC_PR02'!Q:Q,"24/03")+COUNTIFS('[3]🧪 TC_OT01'!P:P,"Định",'[3]🧪 TC_OT01'!Q:Q,"24/03")+COUNTIFS('[4]🧪 TC_SA'!P:P,"Định",'[4]🧪 TC_SA'!Q:Q,"24/03")+COUNTIFS('[5]🧪 TC_SE'!P:P,"Định",'[5]🧪 TC_SE'!Q:Q,"24/03")+COUNTIFS('[6]🧪 TC_RP'!P:P,"Định",'[6]🧪 TC_RP'!Q:Q,"24/03")</f>
        <v/>
      </c>
      <c r="D8" s="7">
        <f>COUNTIFS('[1]🧪 TC_PR01'!P:P,"Thanh",'[1]🧪 TC_PR01'!Q:Q,"24/03")+COUNTIFS('[2]🧪 TC_PR02'!P:P,"Thanh",'[2]🧪 TC_PR02'!Q:Q,"24/03")+COUNTIFS('[3]🧪 TC_OT01'!P:P,"Thanh",'[3]🧪 TC_OT01'!Q:Q,"24/03")+COUNTIFS('[4]🧪 TC_SA'!P:P,"Thanh",'[4]🧪 TC_SA'!Q:Q,"24/03")+COUNTIFS('[5]🧪 TC_SE'!P:P,"Thanh",'[5]🧪 TC_SE'!Q:Q,"24/03")+COUNTIFS('[6]🧪 TC_RP'!P:P,"Thanh",'[6]🧪 TC_RP'!Q:Q,"24/03")</f>
        <v/>
      </c>
      <c r="E8" s="7">
        <f>COUNTIFS('[1]🧪 TC_PR01'!P:P,"Vân Anh",'[1]🧪 TC_PR01'!Q:Q,"24/03")+COUNTIFS('[2]🧪 TC_PR02'!P:P,"Vân Anh",'[2]🧪 TC_PR02'!Q:Q,"24/03")+COUNTIFS('[3]🧪 TC_OT01'!P:P,"Vân Anh",'[3]🧪 TC_OT01'!Q:Q,"24/03")+COUNTIFS('[4]🧪 TC_SA'!P:P,"Vân Anh",'[4]🧪 TC_SA'!Q:Q,"24/03")+COUNTIFS('[5]🧪 TC_SE'!P:P,"Vân Anh",'[5]🧪 TC_SE'!Q:Q,"24/03")+COUNTIFS('[6]🧪 TC_RP'!P:P,"Vân Anh",'[6]🧪 TC_RP'!Q:Q,"24/03")</f>
        <v/>
      </c>
      <c r="F8" s="7">
        <f>COUNTIFS('[1]🧪 TC_PR01'!P:P,"Hiệp",'[1]🧪 TC_PR01'!Q:Q,"24/03")+COUNTIFS('[2]🧪 TC_PR02'!P:P,"Hiệp",'[2]🧪 TC_PR02'!Q:Q,"24/03")+COUNTIFS('[3]🧪 TC_OT01'!P:P,"Hiệp",'[3]🧪 TC_OT01'!Q:Q,"24/03")+COUNTIFS('[4]🧪 TC_SA'!P:P,"Hiệp",'[4]🧪 TC_SA'!Q:Q,"24/03")+COUNTIFS('[5]🧪 TC_SE'!P:P,"Hiệp",'[5]🧪 TC_SE'!Q:Q,"24/03")+COUNTIFS('[6]🧪 TC_RP'!P:P,"Hiệp",'[6]🧪 TC_RP'!Q:Q,"24/03")</f>
        <v/>
      </c>
    </row>
    <row r="9">
      <c r="A9" s="8" t="inlineStr">
        <is>
          <t>25/03</t>
        </is>
      </c>
      <c r="B9" s="6">
        <f>COUNTIF('[1]🧪 TC_PR01'!Q:Q,"25/03")+COUNTIF('[2]🧪 TC_PR02'!Q:Q,"25/03")+COUNTIF('[3]🧪 TC_OT01'!Q:Q,"25/03")+COUNTIF('[4]🧪 TC_SA'!Q:Q,"25/03")+COUNTIF('[5]🧪 TC_SE'!Q:Q,"25/03")+COUNTIF('[6]🧪 TC_RP'!Q:Q,"25/03")</f>
        <v/>
      </c>
      <c r="C9" s="9">
        <f>COUNTIFS('[1]🧪 TC_PR01'!P:P,"Định",'[1]🧪 TC_PR01'!Q:Q,"25/03")+COUNTIFS('[2]🧪 TC_PR02'!P:P,"Định",'[2]🧪 TC_PR02'!Q:Q,"25/03")+COUNTIFS('[3]🧪 TC_OT01'!P:P,"Định",'[3]🧪 TC_OT01'!Q:Q,"25/03")+COUNTIFS('[4]🧪 TC_SA'!P:P,"Định",'[4]🧪 TC_SA'!Q:Q,"25/03")+COUNTIFS('[5]🧪 TC_SE'!P:P,"Định",'[5]🧪 TC_SE'!Q:Q,"25/03")+COUNTIFS('[6]🧪 TC_RP'!P:P,"Định",'[6]🧪 TC_RP'!Q:Q,"25/03")</f>
        <v/>
      </c>
      <c r="D9" s="9">
        <f>COUNTIFS('[1]🧪 TC_PR01'!P:P,"Thanh",'[1]🧪 TC_PR01'!Q:Q,"25/03")+COUNTIFS('[2]🧪 TC_PR02'!P:P,"Thanh",'[2]🧪 TC_PR02'!Q:Q,"25/03")+COUNTIFS('[3]🧪 TC_OT01'!P:P,"Thanh",'[3]🧪 TC_OT01'!Q:Q,"25/03")+COUNTIFS('[4]🧪 TC_SA'!P:P,"Thanh",'[4]🧪 TC_SA'!Q:Q,"25/03")+COUNTIFS('[5]🧪 TC_SE'!P:P,"Thanh",'[5]🧪 TC_SE'!Q:Q,"25/03")+COUNTIFS('[6]🧪 TC_RP'!P:P,"Thanh",'[6]🧪 TC_RP'!Q:Q,"25/03")</f>
        <v/>
      </c>
      <c r="E9" s="9">
        <f>COUNTIFS('[1]🧪 TC_PR01'!P:P,"Vân Anh",'[1]🧪 TC_PR01'!Q:Q,"25/03")+COUNTIFS('[2]🧪 TC_PR02'!P:P,"Vân Anh",'[2]🧪 TC_PR02'!Q:Q,"25/03")+COUNTIFS('[3]🧪 TC_OT01'!P:P,"Vân Anh",'[3]🧪 TC_OT01'!Q:Q,"25/03")+COUNTIFS('[4]🧪 TC_SA'!P:P,"Vân Anh",'[4]🧪 TC_SA'!Q:Q,"25/03")+COUNTIFS('[5]🧪 TC_SE'!P:P,"Vân Anh",'[5]🧪 TC_SE'!Q:Q,"25/03")+COUNTIFS('[6]🧪 TC_RP'!P:P,"Vân Anh",'[6]🧪 TC_RP'!Q:Q,"25/03")</f>
        <v/>
      </c>
      <c r="F9" s="9">
        <f>COUNTIFS('[1]🧪 TC_PR01'!P:P,"Hiệp",'[1]🧪 TC_PR01'!Q:Q,"25/03")+COUNTIFS('[2]🧪 TC_PR02'!P:P,"Hiệp",'[2]🧪 TC_PR02'!Q:Q,"25/03")+COUNTIFS('[3]🧪 TC_OT01'!P:P,"Hiệp",'[3]🧪 TC_OT01'!Q:Q,"25/03")+COUNTIFS('[4]🧪 TC_SA'!P:P,"Hiệp",'[4]🧪 TC_SA'!Q:Q,"25/03")+COUNTIFS('[5]🧪 TC_SE'!P:P,"Hiệp",'[5]🧪 TC_SE'!Q:Q,"25/03")+COUNTIFS('[6]🧪 TC_RP'!P:P,"Hiệp",'[6]🧪 TC_RP'!Q:Q,"25/03")</f>
        <v/>
      </c>
    </row>
    <row r="10">
      <c r="A10" s="6" t="inlineStr">
        <is>
          <t>26/03</t>
        </is>
      </c>
      <c r="B10" s="6">
        <f>COUNTIF('[1]🧪 TC_PR01'!Q:Q,"26/03")+COUNTIF('[2]🧪 TC_PR02'!Q:Q,"26/03")+COUNTIF('[3]🧪 TC_OT01'!Q:Q,"26/03")+COUNTIF('[4]🧪 TC_SA'!Q:Q,"26/03")+COUNTIF('[5]🧪 TC_SE'!Q:Q,"26/03")+COUNTIF('[6]🧪 TC_RP'!Q:Q,"26/03")</f>
        <v/>
      </c>
      <c r="C10" s="7">
        <f>COUNTIFS('[1]🧪 TC_PR01'!P:P,"Định",'[1]🧪 TC_PR01'!Q:Q,"26/03")+COUNTIFS('[2]🧪 TC_PR02'!P:P,"Định",'[2]🧪 TC_PR02'!Q:Q,"26/03")+COUNTIFS('[3]🧪 TC_OT01'!P:P,"Định",'[3]🧪 TC_OT01'!Q:Q,"26/03")+COUNTIFS('[4]🧪 TC_SA'!P:P,"Định",'[4]🧪 TC_SA'!Q:Q,"26/03")+COUNTIFS('[5]🧪 TC_SE'!P:P,"Định",'[5]🧪 TC_SE'!Q:Q,"26/03")+COUNTIFS('[6]🧪 TC_RP'!P:P,"Định",'[6]🧪 TC_RP'!Q:Q,"26/03")</f>
        <v/>
      </c>
      <c r="D10" s="7">
        <f>COUNTIFS('[1]🧪 TC_PR01'!P:P,"Thanh",'[1]🧪 TC_PR01'!Q:Q,"26/03")+COUNTIFS('[2]🧪 TC_PR02'!P:P,"Thanh",'[2]🧪 TC_PR02'!Q:Q,"26/03")+COUNTIFS('[3]🧪 TC_OT01'!P:P,"Thanh",'[3]🧪 TC_OT01'!Q:Q,"26/03")+COUNTIFS('[4]🧪 TC_SA'!P:P,"Thanh",'[4]🧪 TC_SA'!Q:Q,"26/03")+COUNTIFS('[5]🧪 TC_SE'!P:P,"Thanh",'[5]🧪 TC_SE'!Q:Q,"26/03")+COUNTIFS('[6]🧪 TC_RP'!P:P,"Thanh",'[6]🧪 TC_RP'!Q:Q,"26/03")</f>
        <v/>
      </c>
      <c r="E10" s="7">
        <f>COUNTIFS('[1]🧪 TC_PR01'!P:P,"Vân Anh",'[1]🧪 TC_PR01'!Q:Q,"26/03")+COUNTIFS('[2]🧪 TC_PR02'!P:P,"Vân Anh",'[2]🧪 TC_PR02'!Q:Q,"26/03")+COUNTIFS('[3]🧪 TC_OT01'!P:P,"Vân Anh",'[3]🧪 TC_OT01'!Q:Q,"26/03")+COUNTIFS('[4]🧪 TC_SA'!P:P,"Vân Anh",'[4]🧪 TC_SA'!Q:Q,"26/03")+COUNTIFS('[5]🧪 TC_SE'!P:P,"Vân Anh",'[5]🧪 TC_SE'!Q:Q,"26/03")+COUNTIFS('[6]🧪 TC_RP'!P:P,"Vân Anh",'[6]🧪 TC_RP'!Q:Q,"26/03")</f>
        <v/>
      </c>
      <c r="F10" s="7">
        <f>COUNTIFS('[1]🧪 TC_PR01'!P:P,"Hiệp",'[1]🧪 TC_PR01'!Q:Q,"26/03")+COUNTIFS('[2]🧪 TC_PR02'!P:P,"Hiệp",'[2]🧪 TC_PR02'!Q:Q,"26/03")+COUNTIFS('[3]🧪 TC_OT01'!P:P,"Hiệp",'[3]🧪 TC_OT01'!Q:Q,"26/03")+COUNTIFS('[4]🧪 TC_SA'!P:P,"Hiệp",'[4]🧪 TC_SA'!Q:Q,"26/03")+COUNTIFS('[5]🧪 TC_SE'!P:P,"Hiệp",'[5]🧪 TC_SE'!Q:Q,"26/03")+COUNTIFS('[6]🧪 TC_RP'!P:P,"Hiệp",'[6]🧪 TC_RP'!Q:Q,"26/03")</f>
        <v/>
      </c>
    </row>
    <row r="11">
      <c r="A11" s="8" t="inlineStr">
        <is>
          <t>27/03</t>
        </is>
      </c>
      <c r="B11" s="6">
        <f>COUNTIF('[1]🧪 TC_PR01'!Q:Q,"27/03")+COUNTIF('[2]🧪 TC_PR02'!Q:Q,"27/03")+COUNTIF('[3]🧪 TC_OT01'!Q:Q,"27/03")+COUNTIF('[4]🧪 TC_SA'!Q:Q,"27/03")+COUNTIF('[5]🧪 TC_SE'!Q:Q,"27/03")+COUNTIF('[6]🧪 TC_RP'!Q:Q,"27/03")</f>
        <v/>
      </c>
      <c r="C11" s="9">
        <f>COUNTIFS('[1]🧪 TC_PR01'!P:P,"Định",'[1]🧪 TC_PR01'!Q:Q,"27/03")+COUNTIFS('[2]🧪 TC_PR02'!P:P,"Định",'[2]🧪 TC_PR02'!Q:Q,"27/03")+COUNTIFS('[3]🧪 TC_OT01'!P:P,"Định",'[3]🧪 TC_OT01'!Q:Q,"27/03")+COUNTIFS('[4]🧪 TC_SA'!P:P,"Định",'[4]🧪 TC_SA'!Q:Q,"27/03")+COUNTIFS('[5]🧪 TC_SE'!P:P,"Định",'[5]🧪 TC_SE'!Q:Q,"27/03")+COUNTIFS('[6]🧪 TC_RP'!P:P,"Định",'[6]🧪 TC_RP'!Q:Q,"27/03")</f>
        <v/>
      </c>
      <c r="D11" s="9">
        <f>COUNTIFS('[1]🧪 TC_PR01'!P:P,"Thanh",'[1]🧪 TC_PR01'!Q:Q,"27/03")+COUNTIFS('[2]🧪 TC_PR02'!P:P,"Thanh",'[2]🧪 TC_PR02'!Q:Q,"27/03")+COUNTIFS('[3]🧪 TC_OT01'!P:P,"Thanh",'[3]🧪 TC_OT01'!Q:Q,"27/03")+COUNTIFS('[4]🧪 TC_SA'!P:P,"Thanh",'[4]🧪 TC_SA'!Q:Q,"27/03")+COUNTIFS('[5]🧪 TC_SE'!P:P,"Thanh",'[5]🧪 TC_SE'!Q:Q,"27/03")+COUNTIFS('[6]🧪 TC_RP'!P:P,"Thanh",'[6]🧪 TC_RP'!Q:Q,"27/03")</f>
        <v/>
      </c>
      <c r="E11" s="9">
        <f>COUNTIFS('[1]🧪 TC_PR01'!P:P,"Vân Anh",'[1]🧪 TC_PR01'!Q:Q,"27/03")+COUNTIFS('[2]🧪 TC_PR02'!P:P,"Vân Anh",'[2]🧪 TC_PR02'!Q:Q,"27/03")+COUNTIFS('[3]🧪 TC_OT01'!P:P,"Vân Anh",'[3]🧪 TC_OT01'!Q:Q,"27/03")+COUNTIFS('[4]🧪 TC_SA'!P:P,"Vân Anh",'[4]🧪 TC_SA'!Q:Q,"27/03")+COUNTIFS('[5]🧪 TC_SE'!P:P,"Vân Anh",'[5]🧪 TC_SE'!Q:Q,"27/03")+COUNTIFS('[6]🧪 TC_RP'!P:P,"Vân Anh",'[6]🧪 TC_RP'!Q:Q,"27/03")</f>
        <v/>
      </c>
      <c r="F11" s="9">
        <f>COUNTIFS('[1]🧪 TC_PR01'!P:P,"Hiệp",'[1]🧪 TC_PR01'!Q:Q,"27/03")+COUNTIFS('[2]🧪 TC_PR02'!P:P,"Hiệp",'[2]🧪 TC_PR02'!Q:Q,"27/03")+COUNTIFS('[3]🧪 TC_OT01'!P:P,"Hiệp",'[3]🧪 TC_OT01'!Q:Q,"27/03")+COUNTIFS('[4]🧪 TC_SA'!P:P,"Hiệp",'[4]🧪 TC_SA'!Q:Q,"27/03")+COUNTIFS('[5]🧪 TC_SE'!P:P,"Hiệp",'[5]🧪 TC_SE'!Q:Q,"27/03")+COUNTIFS('[6]🧪 TC_RP'!P:P,"Hiệp",'[6]🧪 TC_RP'!Q:Q,"27/03")</f>
        <v/>
      </c>
    </row>
    <row r="12">
      <c r="A12" s="6" t="inlineStr">
        <is>
          <t>28/03</t>
        </is>
      </c>
      <c r="B12" s="6">
        <f>COUNTIF('[1]🧪 TC_PR01'!Q:Q,"28/03")+COUNTIF('[2]🧪 TC_PR02'!Q:Q,"28/03")+COUNTIF('[3]🧪 TC_OT01'!Q:Q,"28/03")+COUNTIF('[4]🧪 TC_SA'!Q:Q,"28/03")+COUNTIF('[5]🧪 TC_SE'!Q:Q,"28/03")+COUNTIF('[6]🧪 TC_RP'!Q:Q,"28/03")</f>
        <v/>
      </c>
      <c r="C12" s="7">
        <f>COUNTIFS('[1]🧪 TC_PR01'!P:P,"Định",'[1]🧪 TC_PR01'!Q:Q,"28/03")+COUNTIFS('[2]🧪 TC_PR02'!P:P,"Định",'[2]🧪 TC_PR02'!Q:Q,"28/03")+COUNTIFS('[3]🧪 TC_OT01'!P:P,"Định",'[3]🧪 TC_OT01'!Q:Q,"28/03")+COUNTIFS('[4]🧪 TC_SA'!P:P,"Định",'[4]🧪 TC_SA'!Q:Q,"28/03")+COUNTIFS('[5]🧪 TC_SE'!P:P,"Định",'[5]🧪 TC_SE'!Q:Q,"28/03")+COUNTIFS('[6]🧪 TC_RP'!P:P,"Định",'[6]🧪 TC_RP'!Q:Q,"28/03")</f>
        <v/>
      </c>
      <c r="D12" s="7">
        <f>COUNTIFS('[1]🧪 TC_PR01'!P:P,"Thanh",'[1]🧪 TC_PR01'!Q:Q,"28/03")+COUNTIFS('[2]🧪 TC_PR02'!P:P,"Thanh",'[2]🧪 TC_PR02'!Q:Q,"28/03")+COUNTIFS('[3]🧪 TC_OT01'!P:P,"Thanh",'[3]🧪 TC_OT01'!Q:Q,"28/03")+COUNTIFS('[4]🧪 TC_SA'!P:P,"Thanh",'[4]🧪 TC_SA'!Q:Q,"28/03")+COUNTIFS('[5]🧪 TC_SE'!P:P,"Thanh",'[5]🧪 TC_SE'!Q:Q,"28/03")+COUNTIFS('[6]🧪 TC_RP'!P:P,"Thanh",'[6]🧪 TC_RP'!Q:Q,"28/03")</f>
        <v/>
      </c>
      <c r="E12" s="7">
        <f>COUNTIFS('[1]🧪 TC_PR01'!P:P,"Vân Anh",'[1]🧪 TC_PR01'!Q:Q,"28/03")+COUNTIFS('[2]🧪 TC_PR02'!P:P,"Vân Anh",'[2]🧪 TC_PR02'!Q:Q,"28/03")+COUNTIFS('[3]🧪 TC_OT01'!P:P,"Vân Anh",'[3]🧪 TC_OT01'!Q:Q,"28/03")+COUNTIFS('[4]🧪 TC_SA'!P:P,"Vân Anh",'[4]🧪 TC_SA'!Q:Q,"28/03")+COUNTIFS('[5]🧪 TC_SE'!P:P,"Vân Anh",'[5]🧪 TC_SE'!Q:Q,"28/03")+COUNTIFS('[6]🧪 TC_RP'!P:P,"Vân Anh",'[6]🧪 TC_RP'!Q:Q,"28/03")</f>
        <v/>
      </c>
      <c r="F12" s="7">
        <f>COUNTIFS('[1]🧪 TC_PR01'!P:P,"Hiệp",'[1]🧪 TC_PR01'!Q:Q,"28/03")+COUNTIFS('[2]🧪 TC_PR02'!P:P,"Hiệp",'[2]🧪 TC_PR02'!Q:Q,"28/03")+COUNTIFS('[3]🧪 TC_OT01'!P:P,"Hiệp",'[3]🧪 TC_OT01'!Q:Q,"28/03")+COUNTIFS('[4]🧪 TC_SA'!P:P,"Hiệp",'[4]🧪 TC_SA'!Q:Q,"28/03")+COUNTIFS('[5]🧪 TC_SE'!P:P,"Hiệp",'[5]🧪 TC_SE'!Q:Q,"28/03")+COUNTIFS('[6]🧪 TC_RP'!P:P,"Hiệp",'[6]🧪 TC_RP'!Q:Q,"28/03")</f>
        <v/>
      </c>
    </row>
    <row r="13">
      <c r="A13" s="8" t="inlineStr">
        <is>
          <t>31/03</t>
        </is>
      </c>
      <c r="B13" s="6">
        <f>COUNTIF('[1]🧪 TC_PR01'!Q:Q,"31/03")+COUNTIF('[2]🧪 TC_PR02'!Q:Q,"31/03")+COUNTIF('[3]🧪 TC_OT01'!Q:Q,"31/03")+COUNTIF('[4]🧪 TC_SA'!Q:Q,"31/03")+COUNTIF('[5]🧪 TC_SE'!Q:Q,"31/03")+COUNTIF('[6]🧪 TC_RP'!Q:Q,"31/03")</f>
        <v/>
      </c>
      <c r="C13" s="9">
        <f>COUNTIFS('[1]🧪 TC_PR01'!P:P,"Định",'[1]🧪 TC_PR01'!Q:Q,"31/03")+COUNTIFS('[2]🧪 TC_PR02'!P:P,"Định",'[2]🧪 TC_PR02'!Q:Q,"31/03")+COUNTIFS('[3]🧪 TC_OT01'!P:P,"Định",'[3]🧪 TC_OT01'!Q:Q,"31/03")+COUNTIFS('[4]🧪 TC_SA'!P:P,"Định",'[4]🧪 TC_SA'!Q:Q,"31/03")+COUNTIFS('[5]🧪 TC_SE'!P:P,"Định",'[5]🧪 TC_SE'!Q:Q,"31/03")+COUNTIFS('[6]🧪 TC_RP'!P:P,"Định",'[6]🧪 TC_RP'!Q:Q,"31/03")</f>
        <v/>
      </c>
      <c r="D13" s="9">
        <f>COUNTIFS('[1]🧪 TC_PR01'!P:P,"Thanh",'[1]🧪 TC_PR01'!Q:Q,"31/03")+COUNTIFS('[2]🧪 TC_PR02'!P:P,"Thanh",'[2]🧪 TC_PR02'!Q:Q,"31/03")+COUNTIFS('[3]🧪 TC_OT01'!P:P,"Thanh",'[3]🧪 TC_OT01'!Q:Q,"31/03")+COUNTIFS('[4]🧪 TC_SA'!P:P,"Thanh",'[4]🧪 TC_SA'!Q:Q,"31/03")+COUNTIFS('[5]🧪 TC_SE'!P:P,"Thanh",'[5]🧪 TC_SE'!Q:Q,"31/03")+COUNTIFS('[6]🧪 TC_RP'!P:P,"Thanh",'[6]🧪 TC_RP'!Q:Q,"31/03")</f>
        <v/>
      </c>
      <c r="E13" s="9">
        <f>COUNTIFS('[1]🧪 TC_PR01'!P:P,"Vân Anh",'[1]🧪 TC_PR01'!Q:Q,"31/03")+COUNTIFS('[2]🧪 TC_PR02'!P:P,"Vân Anh",'[2]🧪 TC_PR02'!Q:Q,"31/03")+COUNTIFS('[3]🧪 TC_OT01'!P:P,"Vân Anh",'[3]🧪 TC_OT01'!Q:Q,"31/03")+COUNTIFS('[4]🧪 TC_SA'!P:P,"Vân Anh",'[4]🧪 TC_SA'!Q:Q,"31/03")+COUNTIFS('[5]🧪 TC_SE'!P:P,"Vân Anh",'[5]🧪 TC_SE'!Q:Q,"31/03")+COUNTIFS('[6]🧪 TC_RP'!P:P,"Vân Anh",'[6]🧪 TC_RP'!Q:Q,"31/03")</f>
        <v/>
      </c>
      <c r="F13" s="9">
        <f>COUNTIFS('[1]🧪 TC_PR01'!P:P,"Hiệp",'[1]🧪 TC_PR01'!Q:Q,"31/03")+COUNTIFS('[2]🧪 TC_PR02'!P:P,"Hiệp",'[2]🧪 TC_PR02'!Q:Q,"31/03")+COUNTIFS('[3]🧪 TC_OT01'!P:P,"Hiệp",'[3]🧪 TC_OT01'!Q:Q,"31/03")+COUNTIFS('[4]🧪 TC_SA'!P:P,"Hiệp",'[4]🧪 TC_SA'!Q:Q,"31/03")+COUNTIFS('[5]🧪 TC_SE'!P:P,"Hiệp",'[5]🧪 TC_SE'!Q:Q,"31/03")+COUNTIFS('[6]🧪 TC_RP'!P:P,"Hiệp",'[6]🧪 TC_RP'!Q:Q,"31/03")</f>
        <v/>
      </c>
    </row>
    <row r="14">
      <c r="A14" s="4" t="inlineStr">
        <is>
          <t>TỔNG CỘNG</t>
        </is>
      </c>
      <c r="B14" s="10">
        <f>SUM(B4:B13)</f>
        <v/>
      </c>
      <c r="C14" s="10">
        <f>SUM(C4:C13)</f>
        <v/>
      </c>
      <c r="D14" s="10">
        <f>SUM(D4:D13)</f>
        <v/>
      </c>
      <c r="E14" s="10">
        <f>SUM(E4:E13)</f>
        <v/>
      </c>
      <c r="F14" s="10">
        <f>SUM(F4:F13)</f>
        <v/>
      </c>
    </row>
    <row r="21" ht="15.75" customHeight="1" s="17"/>
    <row r="22" ht="15.75" customHeight="1" s="17"/>
    <row r="23" ht="15.75" customHeight="1" s="17"/>
    <row r="24" ht="15.75" customHeight="1" s="17"/>
    <row r="25" ht="15.75" customHeight="1" s="17"/>
    <row r="26" ht="15.75" customHeight="1" s="17"/>
    <row r="27" ht="15.75" customHeight="1" s="17"/>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2">
    <mergeCell ref="A3:F3"/>
    <mergeCell ref="A1:F1"/>
  </mergeCells>
  <pageMargins left="0.75" right="0.75" top="1" bottom="1" header="0" footer="0"/>
  <pageSetup orientation="landscape"/>
</worksheet>
</file>

<file path=xl/worksheets/sheet3.xml><?xml version="1.0" encoding="utf-8"?>
<worksheet xmlns="http://schemas.openxmlformats.org/spreadsheetml/2006/main">
  <sheetPr>
    <tabColor rgb="FFFF0000"/>
    <outlinePr summaryBelow="0" summaryRight="0"/>
    <pageSetUpPr/>
  </sheetPr>
  <dimension ref="A1:Z1000"/>
  <sheetViews>
    <sheetView workbookViewId="0">
      <selection activeCell="A1" sqref="A1"/>
    </sheetView>
  </sheetViews>
  <sheetFormatPr baseColWidth="10" defaultColWidth="14.5" defaultRowHeight="15" customHeight="1"/>
  <cols>
    <col width="10.33203125" customWidth="1" style="17" min="1" max="1"/>
    <col width="15.5" customWidth="1" style="17" min="2" max="2"/>
    <col width="77" customWidth="1" style="17" min="3" max="3"/>
    <col width="26" customWidth="1" style="17" min="8" max="8"/>
    <col width="30" customWidth="1" style="17" min="9" max="9"/>
    <col width="33.5" customWidth="1" style="17" min="10" max="10"/>
  </cols>
  <sheetData>
    <row r="1">
      <c r="A1" s="20" t="inlineStr">
        <is>
          <t>BUG TRACKER — PROFIX PHASE 1</t>
        </is>
      </c>
      <c r="M1" s="11" t="n"/>
      <c r="N1" s="11" t="n"/>
      <c r="O1" s="11" t="n"/>
      <c r="P1" s="11" t="n"/>
      <c r="Q1" s="11" t="n"/>
      <c r="R1" s="11" t="n"/>
      <c r="S1" s="11" t="n"/>
      <c r="T1" s="11" t="n"/>
      <c r="U1" s="11" t="n"/>
      <c r="V1" s="11" t="n"/>
      <c r="W1" s="11" t="n"/>
      <c r="X1" s="11" t="n"/>
      <c r="Y1" s="11" t="n"/>
      <c r="Z1" s="11" t="n"/>
    </row>
    <row r="2">
      <c r="A2" s="12" t="inlineStr">
        <is>
          <t>Bug ID</t>
        </is>
      </c>
      <c r="B2" s="12" t="inlineStr">
        <is>
          <t>TC ID Liên quan</t>
        </is>
      </c>
      <c r="C2" s="12" t="inlineStr">
        <is>
          <t>Title</t>
        </is>
      </c>
      <c r="D2" s="12" t="inlineStr">
        <is>
          <t>Module</t>
        </is>
      </c>
      <c r="E2" s="12" t="inlineStr">
        <is>
          <t>Severity</t>
        </is>
      </c>
      <c r="F2" s="12" t="inlineStr">
        <is>
          <t>Priority</t>
        </is>
      </c>
      <c r="G2" s="12" t="inlineStr">
        <is>
          <t>Environment</t>
        </is>
      </c>
      <c r="H2" s="12" t="inlineStr">
        <is>
          <t>Steps to Reproduce</t>
        </is>
      </c>
      <c r="I2" s="12" t="inlineStr">
        <is>
          <t>Expected</t>
        </is>
      </c>
      <c r="J2" s="12" t="inlineStr">
        <is>
          <t>Actual</t>
        </is>
      </c>
      <c r="K2" s="12" t="inlineStr">
        <is>
          <t>Assigned To (Dev)</t>
        </is>
      </c>
      <c r="L2" s="12" t="inlineStr">
        <is>
          <t>Status</t>
        </is>
      </c>
      <c r="M2" s="11" t="n"/>
      <c r="N2" s="11" t="n"/>
      <c r="O2" s="11" t="n"/>
      <c r="P2" s="11" t="n"/>
      <c r="Q2" s="11" t="n"/>
      <c r="R2" s="11" t="n"/>
      <c r="S2" s="11" t="n"/>
      <c r="T2" s="11" t="n"/>
      <c r="U2" s="11" t="n"/>
      <c r="V2" s="11" t="n"/>
      <c r="W2" s="11" t="n"/>
      <c r="X2" s="11" t="n"/>
      <c r="Y2" s="11" t="n"/>
      <c r="Z2" s="11" t="n"/>
    </row>
    <row r="3">
      <c r="A3" s="11" t="inlineStr">
        <is>
          <t>BUG-001</t>
        </is>
      </c>
      <c r="B3" s="11" t="inlineStr">
        <is>
          <t>PR02-HAPPY-001</t>
        </is>
      </c>
      <c r="C3" s="11" t="inlineStr">
        <is>
          <t>[Công thức tính phí] Nhấn Xác nhận sau khi thêm cấu phần Số cố định không có phản hồi</t>
        </is>
      </c>
      <c r="D3" s="11" t="inlineStr">
        <is>
          <t>PR02</t>
        </is>
      </c>
      <c r="E3" s="11" t="inlineStr">
        <is>
          <t>S2</t>
        </is>
      </c>
      <c r="F3" s="11" t="inlineStr">
        <is>
          <t>P1</t>
        </is>
      </c>
      <c r="G3" s="11" t="inlineStr">
        <is>
          <t>Staging/Chrome</t>
        </is>
      </c>
      <c r="H3" s="11" t="inlineStr">
        <is>
          <t>1. Thêm mới CT
2. Thêm cấu phần Số cố định
3. Nhấn Xác nhận</t>
        </is>
      </c>
      <c r="I3" s="11" t="inlineStr">
        <is>
          <t>Lưu thành công, có Toast message</t>
        </is>
      </c>
      <c r="J3" s="11" t="inlineStr">
        <is>
          <t>Màn hình đứng im, không có phản hồi</t>
        </is>
      </c>
      <c r="K3" s="11" t="inlineStr">
        <is>
          <t>[Dev BE]</t>
        </is>
      </c>
      <c r="L3" s="11" t="inlineStr">
        <is>
          <t>Open</t>
        </is>
      </c>
      <c r="M3" s="11" t="n"/>
      <c r="N3" s="11" t="n"/>
      <c r="O3" s="11" t="n"/>
      <c r="P3" s="11" t="n"/>
      <c r="Q3" s="11" t="n"/>
      <c r="R3" s="11" t="n"/>
      <c r="S3" s="11" t="n"/>
      <c r="T3" s="11" t="n"/>
      <c r="U3" s="11" t="n"/>
      <c r="V3" s="11" t="n"/>
      <c r="W3" s="11" t="n"/>
      <c r="X3" s="11" t="n"/>
      <c r="Y3" s="11" t="n"/>
      <c r="Z3" s="11" t="n"/>
    </row>
    <row r="4">
      <c r="A4" s="11" t="n"/>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row>
    <row r="5">
      <c r="A5" s="11" t="n"/>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row>
    <row r="6">
      <c r="A6" s="11" t="n"/>
      <c r="B6" s="11" t="n"/>
      <c r="C6" s="11" t="n"/>
      <c r="D6" s="11" t="n"/>
      <c r="E6" s="11" t="n"/>
      <c r="F6" s="11" t="n"/>
      <c r="G6" s="11" t="n"/>
      <c r="H6" s="11" t="n"/>
      <c r="I6" s="11" t="n"/>
      <c r="J6" s="11" t="n"/>
      <c r="K6" s="11" t="n"/>
      <c r="L6" s="11" t="n"/>
      <c r="M6" s="11" t="n"/>
      <c r="N6" s="11" t="n"/>
      <c r="O6" s="11" t="n"/>
      <c r="P6" s="11" t="n"/>
      <c r="Q6" s="11" t="n"/>
      <c r="R6" s="11" t="n"/>
      <c r="S6" s="11" t="n"/>
      <c r="T6" s="11" t="n"/>
      <c r="U6" s="11" t="n"/>
      <c r="V6" s="11" t="n"/>
      <c r="W6" s="11" t="n"/>
      <c r="X6" s="11" t="n"/>
      <c r="Y6" s="11" t="n"/>
      <c r="Z6" s="11" t="n"/>
    </row>
    <row r="7">
      <c r="A7" s="11" t="n"/>
      <c r="B7" s="11" t="n"/>
      <c r="C7" s="11" t="n"/>
      <c r="D7" s="11" t="n"/>
      <c r="E7" s="11" t="n"/>
      <c r="F7" s="11" t="n"/>
      <c r="G7" s="11" t="n"/>
      <c r="H7" s="11" t="n"/>
      <c r="I7" s="11" t="n"/>
      <c r="J7" s="11" t="n"/>
      <c r="K7" s="11" t="n"/>
      <c r="L7" s="11" t="n"/>
      <c r="M7" s="11" t="n"/>
      <c r="N7" s="11" t="n"/>
      <c r="O7" s="11" t="n"/>
      <c r="P7" s="11" t="n"/>
      <c r="Q7" s="11" t="n"/>
      <c r="R7" s="11" t="n"/>
      <c r="S7" s="11" t="n"/>
      <c r="T7" s="11" t="n"/>
      <c r="U7" s="11" t="n"/>
      <c r="V7" s="11" t="n"/>
      <c r="W7" s="11" t="n"/>
      <c r="X7" s="11" t="n"/>
      <c r="Y7" s="11" t="n"/>
      <c r="Z7" s="11" t="n"/>
    </row>
    <row r="8">
      <c r="A8" s="11" t="n"/>
      <c r="B8" s="11" t="n"/>
      <c r="C8" s="11" t="n"/>
      <c r="D8" s="11" t="n"/>
      <c r="E8" s="11" t="n"/>
      <c r="F8" s="11" t="n"/>
      <c r="G8" s="11" t="n"/>
      <c r="H8" s="11" t="n"/>
      <c r="I8" s="11" t="n"/>
      <c r="J8" s="11" t="n"/>
      <c r="K8" s="11" t="n"/>
      <c r="L8" s="11" t="n"/>
      <c r="M8" s="11" t="n"/>
      <c r="N8" s="11" t="n"/>
      <c r="O8" s="11" t="n"/>
      <c r="P8" s="11" t="n"/>
      <c r="Q8" s="11" t="n"/>
      <c r="R8" s="11" t="n"/>
      <c r="S8" s="11" t="n"/>
      <c r="T8" s="11" t="n"/>
      <c r="U8" s="11" t="n"/>
      <c r="V8" s="11" t="n"/>
      <c r="W8" s="11" t="n"/>
      <c r="X8" s="11" t="n"/>
      <c r="Y8" s="11" t="n"/>
      <c r="Z8" s="11" t="n"/>
    </row>
    <row r="9">
      <c r="A9" s="11" t="n"/>
      <c r="B9" s="11" t="n"/>
      <c r="C9" s="11" t="n"/>
      <c r="D9" s="11" t="n"/>
      <c r="E9" s="11" t="n"/>
      <c r="F9" s="11" t="n"/>
      <c r="G9" s="11" t="n"/>
      <c r="H9" s="11" t="n"/>
      <c r="I9" s="11" t="n"/>
      <c r="J9" s="11" t="n"/>
      <c r="K9" s="11" t="n"/>
      <c r="L9" s="11" t="n"/>
      <c r="M9" s="11" t="n"/>
      <c r="N9" s="11" t="n"/>
      <c r="O9" s="11" t="n"/>
      <c r="P9" s="11" t="n"/>
      <c r="Q9" s="11" t="n"/>
      <c r="R9" s="11" t="n"/>
      <c r="S9" s="11" t="n"/>
      <c r="T9" s="11" t="n"/>
      <c r="U9" s="11" t="n"/>
      <c r="V9" s="11" t="n"/>
      <c r="W9" s="11" t="n"/>
      <c r="X9" s="11" t="n"/>
      <c r="Y9" s="11" t="n"/>
      <c r="Z9" s="11" t="n"/>
    </row>
    <row r="10">
      <c r="A10" s="11" t="n"/>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row>
    <row r="11">
      <c r="A11" s="11" t="n"/>
      <c r="B11" s="11" t="n"/>
      <c r="C11" s="11" t="n"/>
      <c r="D11" s="11" t="n"/>
      <c r="E11" s="11" t="n"/>
      <c r="F11" s="11" t="n"/>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row>
    <row r="12">
      <c r="A12" s="11" t="n"/>
      <c r="B12" s="11" t="n"/>
      <c r="C12" s="11" t="n"/>
      <c r="D12" s="11" t="n"/>
      <c r="E12" s="11" t="n"/>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row>
    <row r="13">
      <c r="A13" s="11" t="n"/>
      <c r="B13" s="11" t="n"/>
      <c r="C13" s="11" t="n"/>
      <c r="D13" s="11" t="n"/>
      <c r="E13" s="11" t="n"/>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row>
    <row r="14">
      <c r="A14" s="11" t="n"/>
      <c r="B14" s="11" t="n"/>
      <c r="C14" s="11" t="n"/>
      <c r="D14" s="11" t="n"/>
      <c r="E14" s="11" t="n"/>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row>
    <row r="15">
      <c r="A15" s="11" t="n"/>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row>
    <row r="16">
      <c r="A16" s="11" t="n"/>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row r="17">
      <c r="A17" s="11" t="n"/>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row>
    <row r="18">
      <c r="A18" s="11" t="n"/>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row>
    <row r="19">
      <c r="A19" s="11" t="n"/>
      <c r="B19" s="11" t="n"/>
      <c r="C19" s="11" t="n"/>
      <c r="D19" s="11" t="n"/>
      <c r="E19" s="11" t="n"/>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row>
    <row r="20">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row>
    <row r="21">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row>
    <row r="22">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row>
    <row r="23">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row>
    <row r="2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row>
    <row r="25">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row>
    <row r="26">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row>
    <row r="27">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row>
    <row r="28">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row>
    <row r="29">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row>
    <row r="30">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row>
    <row r="31">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row>
    <row r="32">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row>
    <row r="33">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row>
    <row r="3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row>
    <row r="35">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row>
    <row r="36">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row>
    <row r="37">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row>
    <row r="38">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row>
    <row r="39">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row>
    <row r="40">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row>
    <row r="41">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row>
    <row r="42">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row>
    <row r="43">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row>
    <row r="4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row>
    <row r="45">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row>
    <row r="46">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row>
    <row r="47">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row>
    <row r="48">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row>
    <row r="49">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row>
    <row r="50">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row>
    <row r="51">
      <c r="A51" s="11"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row>
    <row r="52">
      <c r="A52" s="11"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row>
    <row r="53">
      <c r="A53" s="11"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row>
    <row r="54">
      <c r="A54" s="11"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row>
    <row r="55">
      <c r="A55" s="11"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row>
    <row r="56">
      <c r="A56" s="11"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row>
    <row r="57">
      <c r="A57" s="11"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row>
    <row r="58">
      <c r="A58" s="11"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row>
    <row r="59">
      <c r="A59" s="11"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row>
    <row r="60">
      <c r="A60" s="11"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row>
    <row r="61">
      <c r="A61" s="11"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row>
    <row r="62">
      <c r="A62" s="11"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row>
    <row r="63">
      <c r="A63" s="11"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row>
    <row r="64">
      <c r="A64" s="11"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row>
    <row r="65">
      <c r="A65" s="11"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row>
    <row r="66">
      <c r="A66" s="11"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row>
    <row r="67">
      <c r="A67" s="11"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row>
    <row r="68">
      <c r="A68" s="11"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row>
    <row r="69">
      <c r="A69" s="11"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row>
    <row r="70">
      <c r="A70" s="11"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row>
    <row r="71">
      <c r="A71" s="11"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row>
    <row r="72">
      <c r="A72" s="11"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row>
    <row r="73">
      <c r="A73" s="11"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row>
    <row r="74">
      <c r="A74" s="11"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row>
    <row r="75">
      <c r="A75" s="11"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row>
    <row r="76">
      <c r="A76" s="11"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row>
    <row r="77">
      <c r="A77" s="11"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row>
    <row r="78">
      <c r="A78" s="11"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row>
    <row r="79">
      <c r="A79" s="11"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row>
    <row r="80">
      <c r="A80" s="11"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row>
    <row r="81">
      <c r="A81" s="11"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row>
    <row r="82">
      <c r="A82" s="11"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row>
    <row r="83">
      <c r="A83" s="11"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row>
    <row r="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row>
    <row r="85">
      <c r="A85" s="11"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row>
    <row r="86">
      <c r="A86" s="11"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row>
    <row r="87">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row>
    <row r="88">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row>
    <row r="89">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row>
    <row r="90">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row>
    <row r="91">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row>
    <row r="92">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row>
    <row r="93">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row>
    <row r="9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row>
    <row r="95">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row>
    <row r="96">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row>
    <row r="97">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row>
    <row r="98">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row>
    <row r="99">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row>
    <row r="100">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row>
    <row r="101">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row>
    <row r="102">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row>
    <row r="103">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row>
    <row r="10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row>
    <row r="105">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row>
    <row r="106">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row>
    <row r="107">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row>
    <row r="108">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row>
    <row r="109">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row>
    <row r="110">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row>
    <row r="111">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row>
    <row r="112">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row>
    <row r="113">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row>
    <row r="11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row>
    <row r="115">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row>
    <row r="116">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row>
    <row r="117">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row>
    <row r="118">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row>
    <row r="119">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row>
    <row r="120">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row>
    <row r="121">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row>
    <row r="122">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row>
    <row r="123">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row>
    <row r="12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row>
    <row r="125">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row>
    <row r="126">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row>
    <row r="127">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row>
    <row r="128">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row>
    <row r="129">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row>
    <row r="130">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row>
    <row r="131">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row>
    <row r="132">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row>
    <row r="133">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row>
    <row r="13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row>
    <row r="135">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row>
    <row r="136">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row>
    <row r="137">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row>
    <row r="138">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row>
    <row r="139">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row>
    <row r="140">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row>
    <row r="141">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row>
    <row r="142">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row>
    <row r="143">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row>
    <row r="14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row>
    <row r="145">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row>
    <row r="146">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row>
    <row r="147">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row>
    <row r="148">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row>
    <row r="149">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row>
    <row r="150">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row>
    <row r="151">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row>
    <row r="152">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row>
    <row r="153">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row>
    <row r="15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row>
    <row r="155">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row>
    <row r="156">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row>
    <row r="157">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row>
    <row r="158">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row>
    <row r="159">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row>
    <row r="160">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row>
    <row r="161">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row>
    <row r="162">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row>
    <row r="163">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row>
    <row r="16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row>
    <row r="165">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row>
    <row r="166">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row>
    <row r="167">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row>
    <row r="168">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row>
    <row r="169">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row>
    <row r="170">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row>
    <row r="171">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row>
    <row r="172">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row>
    <row r="173">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row>
    <row r="17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row>
    <row r="175">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row>
    <row r="176">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row>
    <row r="177">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row>
    <row r="178">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row>
    <row r="179">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row>
    <row r="180">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row>
    <row r="181">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row>
    <row r="182">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row>
    <row r="183">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row>
    <row r="1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row>
    <row r="185">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row>
    <row r="186">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row>
    <row r="187">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row>
    <row r="188">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row>
    <row r="189">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row>
    <row r="190">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row>
    <row r="191">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row>
    <row r="192">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row>
    <row r="193">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row>
    <row r="19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row>
    <row r="195">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row>
    <row r="196">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row>
    <row r="197">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row>
    <row r="198">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row>
    <row r="199">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row>
    <row r="200">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row>
    <row r="201">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row>
    <row r="202">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row>
    <row r="203">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row>
    <row r="20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row>
    <row r="205">
      <c r="A205" s="11"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row>
    <row r="206">
      <c r="A206" s="11"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row>
    <row r="207">
      <c r="A207" s="11"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row>
    <row r="208">
      <c r="A208" s="11"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row>
    <row r="209">
      <c r="A209" s="11"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row>
    <row r="210">
      <c r="A210" s="11"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row>
    <row r="211">
      <c r="A211" s="11"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row>
    <row r="212">
      <c r="A212" s="11"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row>
    <row r="213">
      <c r="A213" s="11"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row>
    <row r="214">
      <c r="A214" s="11"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row>
    <row r="215">
      <c r="A215" s="11"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row>
    <row r="216">
      <c r="A216" s="11"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row>
    <row r="217">
      <c r="A217" s="11"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row>
    <row r="218">
      <c r="A218" s="11"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row>
    <row r="219">
      <c r="A219" s="11"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row>
    <row r="220">
      <c r="A220" s="11"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row>
    <row r="221">
      <c r="A221" s="11"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row>
    <row r="222">
      <c r="A222" s="11" t="n"/>
      <c r="B222" s="11" t="n"/>
      <c r="C222" s="11"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row>
    <row r="223">
      <c r="A223" s="11" t="n"/>
      <c r="B223" s="11" t="n"/>
      <c r="C223" s="11"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row>
    <row r="224">
      <c r="A224" s="11" t="n"/>
      <c r="B224" s="11" t="n"/>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row>
    <row r="225">
      <c r="A225" s="11" t="n"/>
      <c r="B225" s="11" t="n"/>
      <c r="C225" s="11"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row>
    <row r="226">
      <c r="A226" s="11" t="n"/>
      <c r="B226" s="11" t="n"/>
      <c r="C226" s="11"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row>
    <row r="227">
      <c r="A227" s="11" t="n"/>
      <c r="B227" s="11" t="n"/>
      <c r="C227" s="11"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row>
    <row r="228">
      <c r="A228" s="11" t="n"/>
      <c r="B228" s="11" t="n"/>
      <c r="C228" s="11"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row>
    <row r="229">
      <c r="A229" s="11" t="n"/>
      <c r="B229" s="11" t="n"/>
      <c r="C229" s="11"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row>
    <row r="230">
      <c r="A230" s="11" t="n"/>
      <c r="B230" s="11" t="n"/>
      <c r="C230" s="11"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row>
    <row r="231">
      <c r="A231" s="11" t="n"/>
      <c r="B231" s="11" t="n"/>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row>
    <row r="232">
      <c r="A232" s="11" t="n"/>
      <c r="B232" s="11" t="n"/>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row>
    <row r="233">
      <c r="A233" s="11" t="n"/>
      <c r="B233" s="11" t="n"/>
      <c r="C233" s="11"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row>
    <row r="234">
      <c r="A234" s="11" t="n"/>
      <c r="B234" s="11" t="n"/>
      <c r="C234" s="11"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row>
    <row r="235">
      <c r="A235" s="11" t="n"/>
      <c r="B235" s="11" t="n"/>
      <c r="C235" s="11"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row>
    <row r="236">
      <c r="A236" s="11" t="n"/>
      <c r="B236" s="11" t="n"/>
      <c r="C236" s="11"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row>
    <row r="237">
      <c r="A237" s="11" t="n"/>
      <c r="B237" s="11" t="n"/>
      <c r="C237" s="11"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row>
    <row r="238">
      <c r="A238" s="11"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row>
    <row r="239">
      <c r="A239" s="11"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row>
    <row r="240">
      <c r="A240" s="11"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row>
    <row r="241">
      <c r="A241" s="11"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row>
    <row r="242">
      <c r="A242" s="11"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row>
    <row r="243">
      <c r="A243" s="11"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row>
    <row r="244">
      <c r="A244" s="11"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row>
    <row r="245">
      <c r="A245" s="11"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row>
    <row r="246">
      <c r="A246" s="11"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row>
    <row r="247">
      <c r="A247" s="11"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row>
    <row r="248">
      <c r="A248" s="11"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row>
    <row r="249">
      <c r="A249" s="11"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row>
    <row r="250">
      <c r="A250" s="11"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row>
    <row r="251">
      <c r="A251" s="11"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row>
    <row r="252">
      <c r="A252" s="11"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row>
    <row r="253">
      <c r="A253" s="11"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row>
    <row r="254">
      <c r="A254" s="11"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row>
    <row r="255">
      <c r="A255" s="11"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row>
    <row r="256">
      <c r="A256" s="11"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row>
    <row r="257">
      <c r="A257" s="11"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row>
    <row r="258">
      <c r="A258" s="11"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row>
    <row r="259">
      <c r="A259" s="11"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row>
    <row r="260">
      <c r="A260" s="11"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row>
    <row r="261">
      <c r="A261" s="11"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row>
    <row r="262">
      <c r="A262" s="11" t="n"/>
      <c r="B262" s="11" t="n"/>
      <c r="C262" s="11" t="n"/>
      <c r="D262" s="11"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row>
    <row r="263">
      <c r="A263" s="11" t="n"/>
      <c r="B263" s="11" t="n"/>
      <c r="C263" s="11" t="n"/>
      <c r="D263" s="11"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row>
    <row r="264">
      <c r="A264" s="11" t="n"/>
      <c r="B264" s="11" t="n"/>
      <c r="C264" s="11" t="n"/>
      <c r="D264" s="11"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row>
    <row r="265">
      <c r="A265" s="11" t="n"/>
      <c r="B265" s="11" t="n"/>
      <c r="C265" s="11" t="n"/>
      <c r="D265" s="11"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row>
    <row r="266">
      <c r="A266" s="11" t="n"/>
      <c r="B266" s="11" t="n"/>
      <c r="C266" s="11" t="n"/>
      <c r="D266" s="11"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row>
    <row r="267">
      <c r="A267" s="11" t="n"/>
      <c r="B267" s="11" t="n"/>
      <c r="C267" s="11" t="n"/>
      <c r="D267" s="11"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row>
    <row r="268">
      <c r="A268" s="11" t="n"/>
      <c r="B268" s="11" t="n"/>
      <c r="C268" s="11" t="n"/>
      <c r="D268" s="11"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row>
    <row r="269">
      <c r="A269" s="11" t="n"/>
      <c r="B269" s="11" t="n"/>
      <c r="C269" s="11" t="n"/>
      <c r="D269" s="11"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row>
    <row r="270">
      <c r="A270" s="11" t="n"/>
      <c r="B270" s="11" t="n"/>
      <c r="C270" s="11" t="n"/>
      <c r="D270" s="11"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row>
    <row r="271">
      <c r="A271" s="11" t="n"/>
      <c r="B271" s="11" t="n"/>
      <c r="C271" s="11" t="n"/>
      <c r="D271" s="11"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row>
    <row r="272">
      <c r="A272" s="11" t="n"/>
      <c r="B272" s="11" t="n"/>
      <c r="C272" s="11" t="n"/>
      <c r="D272" s="11"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row>
    <row r="273">
      <c r="A273" s="11" t="n"/>
      <c r="B273" s="11" t="n"/>
      <c r="C273" s="11" t="n"/>
      <c r="D273" s="11"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row>
    <row r="274">
      <c r="A274" s="11" t="n"/>
      <c r="B274" s="11" t="n"/>
      <c r="C274" s="11" t="n"/>
      <c r="D274" s="11"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row>
    <row r="275">
      <c r="A275" s="11" t="n"/>
      <c r="B275" s="11" t="n"/>
      <c r="C275" s="11" t="n"/>
      <c r="D275" s="11"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row>
    <row r="276">
      <c r="A276" s="11" t="n"/>
      <c r="B276" s="11" t="n"/>
      <c r="C276" s="11" t="n"/>
      <c r="D276" s="11"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row>
    <row r="277">
      <c r="A277" s="11" t="n"/>
      <c r="B277" s="11" t="n"/>
      <c r="C277" s="11" t="n"/>
      <c r="D277" s="11"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row>
    <row r="278">
      <c r="A278" s="11" t="n"/>
      <c r="B278" s="11" t="n"/>
      <c r="C278" s="11" t="n"/>
      <c r="D278" s="11"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row>
    <row r="279">
      <c r="A279" s="11" t="n"/>
      <c r="B279" s="11" t="n"/>
      <c r="C279" s="11" t="n"/>
      <c r="D279" s="11"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row>
    <row r="280">
      <c r="A280" s="11" t="n"/>
      <c r="B280" s="11" t="n"/>
      <c r="C280" s="11" t="n"/>
      <c r="D280" s="11"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row>
    <row r="281">
      <c r="A281" s="11" t="n"/>
      <c r="B281" s="11" t="n"/>
      <c r="C281" s="11" t="n"/>
      <c r="D281" s="11"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row>
    <row r="282">
      <c r="A282" s="11" t="n"/>
      <c r="B282" s="11" t="n"/>
      <c r="C282" s="11"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row>
    <row r="283">
      <c r="A283" s="11" t="n"/>
      <c r="B283" s="11" t="n"/>
      <c r="C283" s="11" t="n"/>
      <c r="D283" s="11"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row>
    <row r="284">
      <c r="A284" s="11" t="n"/>
      <c r="B284" s="11" t="n"/>
      <c r="C284" s="11"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row>
    <row r="285">
      <c r="A285" s="11" t="n"/>
      <c r="B285" s="11" t="n"/>
      <c r="C285" s="11"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row>
    <row r="286">
      <c r="A286" s="11" t="n"/>
      <c r="B286" s="11" t="n"/>
      <c r="C286" s="11"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row>
    <row r="287">
      <c r="A287" s="11" t="n"/>
      <c r="B287" s="11" t="n"/>
      <c r="C287" s="11"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row>
    <row r="288">
      <c r="A288" s="11" t="n"/>
      <c r="B288" s="11" t="n"/>
      <c r="C288" s="11"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row>
    <row r="289">
      <c r="A289" s="11" t="n"/>
      <c r="B289" s="11" t="n"/>
      <c r="C289" s="11"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row>
    <row r="290">
      <c r="A290" s="11" t="n"/>
      <c r="B290" s="11" t="n"/>
      <c r="C290" s="11"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row>
    <row r="291">
      <c r="A291" s="11" t="n"/>
      <c r="B291" s="11" t="n"/>
      <c r="C291" s="11"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row>
    <row r="292">
      <c r="A292" s="11" t="n"/>
      <c r="B292" s="11" t="n"/>
      <c r="C292" s="11"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row>
    <row r="293">
      <c r="A293" s="11" t="n"/>
      <c r="B293" s="11" t="n"/>
      <c r="C293" s="11"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row>
    <row r="294">
      <c r="A294" s="11" t="n"/>
      <c r="B294" s="11" t="n"/>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row>
    <row r="295">
      <c r="A295" s="11" t="n"/>
      <c r="B295" s="11" t="n"/>
      <c r="C295" s="11"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row>
    <row r="296">
      <c r="A296" s="11" t="n"/>
      <c r="B296" s="11" t="n"/>
      <c r="C296" s="11"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row>
    <row r="297">
      <c r="A297" s="11" t="n"/>
      <c r="B297" s="11" t="n"/>
      <c r="C297" s="11"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row>
    <row r="298">
      <c r="A298" s="11" t="n"/>
      <c r="B298" s="11" t="n"/>
      <c r="C298" s="11"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row>
    <row r="299">
      <c r="A299" s="11" t="n"/>
      <c r="B299" s="11" t="n"/>
      <c r="C299" s="11"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row>
    <row r="300">
      <c r="A300" s="11" t="n"/>
      <c r="B300" s="11" t="n"/>
      <c r="C300" s="11"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row>
    <row r="301">
      <c r="A301" s="11" t="n"/>
      <c r="B301" s="11" t="n"/>
      <c r="C301" s="11"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row>
    <row r="302">
      <c r="A302" s="11" t="n"/>
      <c r="B302" s="11" t="n"/>
      <c r="C302" s="11"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row>
    <row r="303">
      <c r="A303" s="11" t="n"/>
      <c r="B303" s="11" t="n"/>
      <c r="C303" s="11"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row>
    <row r="304">
      <c r="A304" s="11" t="n"/>
      <c r="B304" s="11" t="n"/>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row>
    <row r="305">
      <c r="A305" s="11" t="n"/>
      <c r="B305" s="11" t="n"/>
      <c r="C305" s="11"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row>
    <row r="306">
      <c r="A306" s="11" t="n"/>
      <c r="B306" s="11" t="n"/>
      <c r="C306" s="11"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row>
    <row r="307">
      <c r="A307" s="11" t="n"/>
      <c r="B307" s="11" t="n"/>
      <c r="C307" s="11"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row>
    <row r="308">
      <c r="A308" s="11" t="n"/>
      <c r="B308" s="11" t="n"/>
      <c r="C308" s="11"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row>
    <row r="309">
      <c r="A309" s="11" t="n"/>
      <c r="B309" s="11" t="n"/>
      <c r="C309" s="11"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row>
    <row r="310">
      <c r="A310" s="11" t="n"/>
      <c r="B310" s="11" t="n"/>
      <c r="C310" s="11"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row>
    <row r="311">
      <c r="A311" s="11" t="n"/>
      <c r="B311" s="11" t="n"/>
      <c r="C311" s="11"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row>
    <row r="312">
      <c r="A312" s="11" t="n"/>
      <c r="B312" s="11" t="n"/>
      <c r="C312" s="11"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row>
    <row r="313">
      <c r="A313" s="11" t="n"/>
      <c r="B313" s="11" t="n"/>
      <c r="C313" s="11"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row>
    <row r="314">
      <c r="A314" s="11" t="n"/>
      <c r="B314" s="11" t="n"/>
      <c r="C314" s="11"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row>
    <row r="315">
      <c r="A315" s="11" t="n"/>
      <c r="B315" s="11" t="n"/>
      <c r="C315" s="11"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row>
    <row r="316">
      <c r="A316" s="11" t="n"/>
      <c r="B316" s="11" t="n"/>
      <c r="C316" s="11"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row>
    <row r="317">
      <c r="A317" s="11" t="n"/>
      <c r="B317" s="11" t="n"/>
      <c r="C317" s="11"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row>
    <row r="318">
      <c r="A318" s="11" t="n"/>
      <c r="B318" s="11" t="n"/>
      <c r="C318" s="11"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row>
    <row r="319">
      <c r="A319" s="11" t="n"/>
      <c r="B319" s="11" t="n"/>
      <c r="C319" s="11"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row>
    <row r="320">
      <c r="A320" s="11" t="n"/>
      <c r="B320" s="11" t="n"/>
      <c r="C320" s="11"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row>
    <row r="321">
      <c r="A321" s="11" t="n"/>
      <c r="B321" s="11" t="n"/>
      <c r="C321" s="11"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row>
    <row r="322">
      <c r="A322" s="11" t="n"/>
      <c r="B322" s="11" t="n"/>
      <c r="C322" s="11"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row>
    <row r="323">
      <c r="A323" s="11" t="n"/>
      <c r="B323" s="11" t="n"/>
      <c r="C323" s="11"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row>
    <row r="324">
      <c r="A324" s="11" t="n"/>
      <c r="B324" s="11" t="n"/>
      <c r="C324" s="11"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row>
    <row r="325">
      <c r="A325" s="11" t="n"/>
      <c r="B325" s="11" t="n"/>
      <c r="C325" s="11"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row>
    <row r="326">
      <c r="A326" s="11" t="n"/>
      <c r="B326" s="11" t="n"/>
      <c r="C326" s="11"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row>
    <row r="327">
      <c r="A327" s="11" t="n"/>
      <c r="B327" s="11" t="n"/>
      <c r="C327" s="11"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row>
    <row r="328">
      <c r="A328" s="11" t="n"/>
      <c r="B328" s="11" t="n"/>
      <c r="C328" s="11"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row>
    <row r="329">
      <c r="A329" s="11" t="n"/>
      <c r="B329" s="11" t="n"/>
      <c r="C329" s="11"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row>
    <row r="330">
      <c r="A330" s="11" t="n"/>
      <c r="B330" s="11" t="n"/>
      <c r="C330" s="11"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row>
    <row r="331">
      <c r="A331" s="11" t="n"/>
      <c r="B331" s="11" t="n"/>
      <c r="C331" s="11"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row>
    <row r="332">
      <c r="A332" s="11" t="n"/>
      <c r="B332" s="11" t="n"/>
      <c r="C332" s="11"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row>
    <row r="333">
      <c r="A333" s="11" t="n"/>
      <c r="B333" s="11" t="n"/>
      <c r="C333" s="11"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row>
    <row r="334">
      <c r="A334" s="11" t="n"/>
      <c r="B334" s="11" t="n"/>
      <c r="C334" s="11"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row>
    <row r="335">
      <c r="A335" s="11" t="n"/>
      <c r="B335" s="11" t="n"/>
      <c r="C335" s="11"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row>
    <row r="336">
      <c r="A336" s="11" t="n"/>
      <c r="B336" s="11" t="n"/>
      <c r="C336" s="11"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row>
    <row r="337">
      <c r="A337" s="11" t="n"/>
      <c r="B337" s="11" t="n"/>
      <c r="C337" s="11"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row>
    <row r="338">
      <c r="A338" s="11" t="n"/>
      <c r="B338" s="11" t="n"/>
      <c r="C338" s="11"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row>
    <row r="339">
      <c r="A339" s="11" t="n"/>
      <c r="B339" s="11" t="n"/>
      <c r="C339" s="11"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row>
    <row r="340">
      <c r="A340" s="11" t="n"/>
      <c r="B340" s="11" t="n"/>
      <c r="C340" s="11"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row>
    <row r="341">
      <c r="A341" s="11" t="n"/>
      <c r="B341" s="11" t="n"/>
      <c r="C341" s="11"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row>
    <row r="342">
      <c r="A342" s="11" t="n"/>
      <c r="B342" s="11" t="n"/>
      <c r="C342" s="11"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row>
    <row r="343">
      <c r="A343" s="11" t="n"/>
      <c r="B343" s="11" t="n"/>
      <c r="C343" s="11"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row>
    <row r="344">
      <c r="A344" s="11" t="n"/>
      <c r="B344" s="11" t="n"/>
      <c r="C344" s="11"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row>
    <row r="345">
      <c r="A345" s="11" t="n"/>
      <c r="B345" s="11" t="n"/>
      <c r="C345" s="11"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row>
    <row r="346">
      <c r="A346" s="11" t="n"/>
      <c r="B346" s="11" t="n"/>
      <c r="C346" s="11"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row>
    <row r="347">
      <c r="A347" s="11" t="n"/>
      <c r="B347" s="11" t="n"/>
      <c r="C347" s="11"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row>
    <row r="348">
      <c r="A348" s="11" t="n"/>
      <c r="B348" s="11" t="n"/>
      <c r="C348" s="11"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row>
    <row r="349">
      <c r="A349" s="11" t="n"/>
      <c r="B349" s="11" t="n"/>
      <c r="C349" s="11"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row>
    <row r="350">
      <c r="A350" s="11" t="n"/>
      <c r="B350" s="11" t="n"/>
      <c r="C350" s="11"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row>
    <row r="351">
      <c r="A351" s="11" t="n"/>
      <c r="B351" s="11" t="n"/>
      <c r="C351" s="11"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row>
    <row r="352">
      <c r="A352" s="11" t="n"/>
      <c r="B352" s="11" t="n"/>
      <c r="C352" s="11"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row>
    <row r="353">
      <c r="A353" s="11" t="n"/>
      <c r="B353" s="11" t="n"/>
      <c r="C353" s="11"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row>
    <row r="354">
      <c r="A354" s="11" t="n"/>
      <c r="B354" s="11" t="n"/>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row>
    <row r="355">
      <c r="A355" s="11" t="n"/>
      <c r="B355" s="11" t="n"/>
      <c r="C355" s="11"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row>
    <row r="356">
      <c r="A356" s="11" t="n"/>
      <c r="B356" s="11" t="n"/>
      <c r="C356" s="11"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row>
    <row r="357">
      <c r="A357" s="11" t="n"/>
      <c r="B357" s="11" t="n"/>
      <c r="C357" s="11"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row>
    <row r="358">
      <c r="A358" s="11" t="n"/>
      <c r="B358" s="11" t="n"/>
      <c r="C358" s="11"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row>
    <row r="359">
      <c r="A359" s="11" t="n"/>
      <c r="B359" s="11" t="n"/>
      <c r="C359" s="11"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row>
    <row r="360">
      <c r="A360" s="11" t="n"/>
      <c r="B360" s="11" t="n"/>
      <c r="C360" s="11"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row>
    <row r="361">
      <c r="A361" s="11" t="n"/>
      <c r="B361" s="11" t="n"/>
      <c r="C361" s="11"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row>
    <row r="362">
      <c r="A362" s="11" t="n"/>
      <c r="B362" s="11" t="n"/>
      <c r="C362" s="11"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row>
    <row r="363">
      <c r="A363" s="11" t="n"/>
      <c r="B363" s="11" t="n"/>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row>
    <row r="364">
      <c r="A364" s="11" t="n"/>
      <c r="B364" s="11" t="n"/>
      <c r="C364" s="11"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row>
    <row r="365">
      <c r="A365" s="11" t="n"/>
      <c r="B365" s="11" t="n"/>
      <c r="C365" s="11"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row>
    <row r="366">
      <c r="A366" s="11" t="n"/>
      <c r="B366" s="11" t="n"/>
      <c r="C366" s="11"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row>
    <row r="367">
      <c r="A367" s="11" t="n"/>
      <c r="B367" s="11" t="n"/>
      <c r="C367" s="11"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row>
    <row r="368">
      <c r="A368" s="11" t="n"/>
      <c r="B368" s="11" t="n"/>
      <c r="C368" s="11"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row>
    <row r="369">
      <c r="A369" s="11" t="n"/>
      <c r="B369" s="11" t="n"/>
      <c r="C369" s="11"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row>
    <row r="370">
      <c r="A370" s="11" t="n"/>
      <c r="B370" s="11" t="n"/>
      <c r="C370" s="11"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row>
    <row r="371">
      <c r="A371" s="11" t="n"/>
      <c r="B371" s="11" t="n"/>
      <c r="C371" s="11"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row>
    <row r="372">
      <c r="A372" s="11" t="n"/>
      <c r="B372" s="11" t="n"/>
      <c r="C372" s="11"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row>
    <row r="373">
      <c r="A373" s="11" t="n"/>
      <c r="B373" s="11" t="n"/>
      <c r="C373" s="11"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row>
    <row r="374">
      <c r="A374" s="11" t="n"/>
      <c r="B374" s="11" t="n"/>
      <c r="C374" s="11"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row>
    <row r="375">
      <c r="A375" s="11" t="n"/>
      <c r="B375" s="11" t="n"/>
      <c r="C375" s="11"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row>
    <row r="376">
      <c r="A376" s="11" t="n"/>
      <c r="B376" s="11" t="n"/>
      <c r="C376" s="11"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row>
    <row r="377">
      <c r="A377" s="11" t="n"/>
      <c r="B377" s="11" t="n"/>
      <c r="C377" s="11"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row>
    <row r="378">
      <c r="A378" s="11" t="n"/>
      <c r="B378" s="11" t="n"/>
      <c r="C378" s="11"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row>
    <row r="379">
      <c r="A379" s="11" t="n"/>
      <c r="B379" s="11" t="n"/>
      <c r="C379" s="11"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row>
    <row r="380">
      <c r="A380" s="11" t="n"/>
      <c r="B380" s="11" t="n"/>
      <c r="C380" s="11"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row>
    <row r="381">
      <c r="A381" s="11" t="n"/>
      <c r="B381" s="11" t="n"/>
      <c r="C381" s="11"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row>
    <row r="382">
      <c r="A382" s="11" t="n"/>
      <c r="B382" s="11" t="n"/>
      <c r="C382" s="11"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row>
    <row r="383">
      <c r="A383" s="11" t="n"/>
      <c r="B383" s="11" t="n"/>
      <c r="C383" s="11"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row>
    <row r="384">
      <c r="A384" s="11" t="n"/>
      <c r="B384" s="11" t="n"/>
      <c r="C384" s="11"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row>
    <row r="385">
      <c r="A385" s="11" t="n"/>
      <c r="B385" s="11" t="n"/>
      <c r="C385" s="11"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row>
    <row r="386">
      <c r="A386" s="11" t="n"/>
      <c r="B386" s="11" t="n"/>
      <c r="C386" s="11"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row>
    <row r="387">
      <c r="A387" s="11" t="n"/>
      <c r="B387" s="11" t="n"/>
      <c r="C387" s="11"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row>
    <row r="388">
      <c r="A388" s="11" t="n"/>
      <c r="B388" s="11" t="n"/>
      <c r="C388" s="11"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row>
    <row r="389">
      <c r="A389" s="11" t="n"/>
      <c r="B389" s="11" t="n"/>
      <c r="C389" s="11"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row>
    <row r="390">
      <c r="A390" s="11" t="n"/>
      <c r="B390" s="11" t="n"/>
      <c r="C390" s="11"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row>
    <row r="391">
      <c r="A391" s="11" t="n"/>
      <c r="B391" s="11" t="n"/>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row>
    <row r="392">
      <c r="A392" s="11" t="n"/>
      <c r="B392" s="11" t="n"/>
      <c r="C392" s="11"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row>
    <row r="393">
      <c r="A393" s="11" t="n"/>
      <c r="B393" s="11" t="n"/>
      <c r="C393" s="11"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row>
    <row r="394">
      <c r="A394" s="11" t="n"/>
      <c r="B394" s="11" t="n"/>
      <c r="C394" s="11"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row>
    <row r="395">
      <c r="A395" s="11" t="n"/>
      <c r="B395" s="11" t="n"/>
      <c r="C395" s="11"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row>
    <row r="396">
      <c r="A396" s="11" t="n"/>
      <c r="B396" s="11" t="n"/>
      <c r="C396" s="11"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row>
    <row r="397">
      <c r="A397" s="11" t="n"/>
      <c r="B397" s="11" t="n"/>
      <c r="C397" s="11"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row>
    <row r="398">
      <c r="A398" s="11" t="n"/>
      <c r="B398" s="11" t="n"/>
      <c r="C398" s="11"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row>
    <row r="399">
      <c r="A399" s="11" t="n"/>
      <c r="B399" s="11" t="n"/>
      <c r="C399" s="11"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row>
    <row r="400">
      <c r="A400" s="11" t="n"/>
      <c r="B400" s="11" t="n"/>
      <c r="C400" s="11"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row>
    <row r="401">
      <c r="A401" s="11" t="n"/>
      <c r="B401" s="11" t="n"/>
      <c r="C401" s="11"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row>
    <row r="402">
      <c r="A402" s="11" t="n"/>
      <c r="B402" s="11" t="n"/>
      <c r="C402" s="11"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row>
    <row r="403">
      <c r="A403" s="11" t="n"/>
      <c r="B403" s="11" t="n"/>
      <c r="C403" s="11"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row>
    <row r="404">
      <c r="A404" s="11" t="n"/>
      <c r="B404" s="11" t="n"/>
      <c r="C404" s="11"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row>
    <row r="405">
      <c r="A405" s="11" t="n"/>
      <c r="B405" s="11" t="n"/>
      <c r="C405" s="11"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row>
    <row r="406">
      <c r="A406" s="11" t="n"/>
      <c r="B406" s="11" t="n"/>
      <c r="C406" s="11"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row>
    <row r="407">
      <c r="A407" s="11" t="n"/>
      <c r="B407" s="11" t="n"/>
      <c r="C407" s="11"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row>
    <row r="408">
      <c r="A408" s="11" t="n"/>
      <c r="B408" s="11" t="n"/>
      <c r="C408" s="11"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row>
    <row r="409">
      <c r="A409" s="11" t="n"/>
      <c r="B409" s="11" t="n"/>
      <c r="C409" s="11"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row>
    <row r="410">
      <c r="A410" s="11" t="n"/>
      <c r="B410" s="11" t="n"/>
      <c r="C410" s="11"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row>
    <row r="411">
      <c r="A411" s="11" t="n"/>
      <c r="B411" s="11" t="n"/>
      <c r="C411" s="11"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row>
    <row r="412">
      <c r="A412" s="11" t="n"/>
      <c r="B412" s="11" t="n"/>
      <c r="C412" s="11"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row>
    <row r="413">
      <c r="A413" s="11" t="n"/>
      <c r="B413" s="11" t="n"/>
      <c r="C413" s="11"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row>
    <row r="414">
      <c r="A414" s="11" t="n"/>
      <c r="B414" s="11" t="n"/>
      <c r="C414" s="11"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row>
    <row r="415">
      <c r="A415" s="11" t="n"/>
      <c r="B415" s="11" t="n"/>
      <c r="C415" s="11"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row>
    <row r="416">
      <c r="A416" s="11" t="n"/>
      <c r="B416" s="11" t="n"/>
      <c r="C416" s="11"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row>
    <row r="417">
      <c r="A417" s="11" t="n"/>
      <c r="B417" s="11" t="n"/>
      <c r="C417" s="11"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row>
    <row r="418">
      <c r="A418" s="11" t="n"/>
      <c r="B418" s="11" t="n"/>
      <c r="C418" s="11"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row>
    <row r="419">
      <c r="A419" s="11" t="n"/>
      <c r="B419" s="11" t="n"/>
      <c r="C419" s="11"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row>
    <row r="420">
      <c r="A420" s="11" t="n"/>
      <c r="B420" s="11" t="n"/>
      <c r="C420" s="11"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row>
    <row r="421">
      <c r="A421" s="11" t="n"/>
      <c r="B421" s="11" t="n"/>
      <c r="C421" s="11"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row>
    <row r="422">
      <c r="A422" s="11" t="n"/>
      <c r="B422" s="11" t="n"/>
      <c r="C422" s="11"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row>
    <row r="423">
      <c r="A423" s="11" t="n"/>
      <c r="B423" s="11" t="n"/>
      <c r="C423" s="11"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row>
    <row r="424">
      <c r="A424" s="11" t="n"/>
      <c r="B424" s="11" t="n"/>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row>
    <row r="425">
      <c r="A425" s="11" t="n"/>
      <c r="B425" s="11" t="n"/>
      <c r="C425" s="11"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row>
    <row r="426">
      <c r="A426" s="11" t="n"/>
      <c r="B426" s="11" t="n"/>
      <c r="C426" s="11"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row>
    <row r="427">
      <c r="A427" s="11" t="n"/>
      <c r="B427" s="11" t="n"/>
      <c r="C427" s="11"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row>
    <row r="428">
      <c r="A428" s="11" t="n"/>
      <c r="B428" s="11" t="n"/>
      <c r="C428" s="11"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row>
    <row r="429">
      <c r="A429" s="11" t="n"/>
      <c r="B429" s="11" t="n"/>
      <c r="C429" s="11"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row>
    <row r="430">
      <c r="A430" s="11" t="n"/>
      <c r="B430" s="11" t="n"/>
      <c r="C430" s="11"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row>
    <row r="431">
      <c r="A431" s="11" t="n"/>
      <c r="B431" s="11" t="n"/>
      <c r="C431" s="11"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row>
    <row r="432">
      <c r="A432" s="11" t="n"/>
      <c r="B432" s="11" t="n"/>
      <c r="C432" s="11"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row>
    <row r="433">
      <c r="A433" s="11" t="n"/>
      <c r="B433" s="11" t="n"/>
      <c r="C433" s="11"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row>
    <row r="434">
      <c r="A434" s="11" t="n"/>
      <c r="B434" s="11" t="n"/>
      <c r="C434" s="11"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row>
    <row r="435">
      <c r="A435" s="11" t="n"/>
      <c r="B435" s="11" t="n"/>
      <c r="C435" s="11"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row>
    <row r="436">
      <c r="A436" s="11" t="n"/>
      <c r="B436" s="11" t="n"/>
      <c r="C436" s="11"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row>
    <row r="437">
      <c r="A437" s="11" t="n"/>
      <c r="B437" s="11" t="n"/>
      <c r="C437" s="11"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row>
    <row r="438">
      <c r="A438" s="11" t="n"/>
      <c r="B438" s="11" t="n"/>
      <c r="C438" s="11"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row>
    <row r="439">
      <c r="A439" s="11" t="n"/>
      <c r="B439" s="11" t="n"/>
      <c r="C439" s="11"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row>
    <row r="440">
      <c r="A440" s="11" t="n"/>
      <c r="B440" s="11" t="n"/>
      <c r="C440" s="11"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row>
    <row r="441">
      <c r="A441" s="11" t="n"/>
      <c r="B441" s="11" t="n"/>
      <c r="C441" s="11"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row>
    <row r="442">
      <c r="A442" s="11" t="n"/>
      <c r="B442" s="11" t="n"/>
      <c r="C442" s="11"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row>
    <row r="443">
      <c r="A443" s="11" t="n"/>
      <c r="B443" s="11" t="n"/>
      <c r="C443" s="11"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row>
    <row r="444">
      <c r="A444" s="11" t="n"/>
      <c r="B444" s="11" t="n"/>
      <c r="C444" s="11"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row>
    <row r="445">
      <c r="A445" s="11" t="n"/>
      <c r="B445" s="11" t="n"/>
      <c r="C445" s="11"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row>
    <row r="446">
      <c r="A446" s="11" t="n"/>
      <c r="B446" s="11" t="n"/>
      <c r="C446" s="11"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row>
    <row r="447">
      <c r="A447" s="11" t="n"/>
      <c r="B447" s="11" t="n"/>
      <c r="C447" s="11"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row>
    <row r="448">
      <c r="A448" s="11" t="n"/>
      <c r="B448" s="11" t="n"/>
      <c r="C448" s="11"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row>
    <row r="449">
      <c r="A449" s="11" t="n"/>
      <c r="B449" s="11" t="n"/>
      <c r="C449" s="11"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row>
    <row r="450">
      <c r="A450" s="11" t="n"/>
      <c r="B450" s="11" t="n"/>
      <c r="C450" s="11"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row>
    <row r="451">
      <c r="A451" s="11" t="n"/>
      <c r="B451" s="11" t="n"/>
      <c r="C451" s="11"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row>
    <row r="452">
      <c r="A452" s="11" t="n"/>
      <c r="B452" s="11" t="n"/>
      <c r="C452" s="11"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row>
    <row r="453">
      <c r="A453" s="11" t="n"/>
      <c r="B453" s="11" t="n"/>
      <c r="C453" s="11"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row>
    <row r="454">
      <c r="A454" s="11" t="n"/>
      <c r="B454" s="11" t="n"/>
      <c r="C454" s="11"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row>
    <row r="455">
      <c r="A455" s="11" t="n"/>
      <c r="B455" s="11" t="n"/>
      <c r="C455" s="11"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row>
    <row r="456">
      <c r="A456" s="11" t="n"/>
      <c r="B456" s="11" t="n"/>
      <c r="C456" s="11"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row>
    <row r="457">
      <c r="A457" s="11" t="n"/>
      <c r="B457" s="11" t="n"/>
      <c r="C457" s="11"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row>
    <row r="458">
      <c r="A458" s="11" t="n"/>
      <c r="B458" s="11" t="n"/>
      <c r="C458" s="11"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row>
    <row r="459">
      <c r="A459" s="11" t="n"/>
      <c r="B459" s="11" t="n"/>
      <c r="C459" s="11"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row>
    <row r="460">
      <c r="A460" s="11" t="n"/>
      <c r="B460" s="11" t="n"/>
      <c r="C460" s="11"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row>
    <row r="461">
      <c r="A461" s="11" t="n"/>
      <c r="B461" s="11" t="n"/>
      <c r="C461" s="11"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row>
    <row r="462">
      <c r="A462" s="11" t="n"/>
      <c r="B462" s="11" t="n"/>
      <c r="C462" s="11"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row>
    <row r="463">
      <c r="A463" s="11" t="n"/>
      <c r="B463" s="11" t="n"/>
      <c r="C463" s="11"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row>
    <row r="464">
      <c r="A464" s="11" t="n"/>
      <c r="B464" s="11" t="n"/>
      <c r="C464" s="11"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row>
    <row r="465">
      <c r="A465" s="11" t="n"/>
      <c r="B465" s="11" t="n"/>
      <c r="C465" s="11"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row>
    <row r="466">
      <c r="A466" s="11" t="n"/>
      <c r="B466" s="11" t="n"/>
      <c r="C466" s="11"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row>
    <row r="467">
      <c r="A467" s="11" t="n"/>
      <c r="B467" s="11" t="n"/>
      <c r="C467" s="11"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row>
    <row r="468">
      <c r="A468" s="11" t="n"/>
      <c r="B468" s="11" t="n"/>
      <c r="C468" s="11"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row>
    <row r="469">
      <c r="A469" s="11" t="n"/>
      <c r="B469" s="11" t="n"/>
      <c r="C469" s="11"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row>
    <row r="470">
      <c r="A470" s="11" t="n"/>
      <c r="B470" s="11" t="n"/>
      <c r="C470" s="11"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row>
    <row r="471">
      <c r="A471" s="11" t="n"/>
      <c r="B471" s="11" t="n"/>
      <c r="C471" s="11"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row>
    <row r="472">
      <c r="A472" s="11" t="n"/>
      <c r="B472" s="11" t="n"/>
      <c r="C472" s="11"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row>
    <row r="473">
      <c r="A473" s="11" t="n"/>
      <c r="B473" s="11" t="n"/>
      <c r="C473" s="11"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row>
    <row r="474">
      <c r="A474" s="11" t="n"/>
      <c r="B474" s="11" t="n"/>
      <c r="C474" s="11"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row>
    <row r="475">
      <c r="A475" s="11" t="n"/>
      <c r="B475" s="11" t="n"/>
      <c r="C475" s="11"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row>
    <row r="476">
      <c r="A476" s="11" t="n"/>
      <c r="B476" s="11" t="n"/>
      <c r="C476" s="11"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row>
    <row r="477">
      <c r="A477" s="11" t="n"/>
      <c r="B477" s="11" t="n"/>
      <c r="C477" s="11"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row>
    <row r="478">
      <c r="A478" s="11" t="n"/>
      <c r="B478" s="11" t="n"/>
      <c r="C478" s="11"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row>
    <row r="479">
      <c r="A479" s="11" t="n"/>
      <c r="B479" s="11" t="n"/>
      <c r="C479" s="11"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row>
    <row r="480">
      <c r="A480" s="11" t="n"/>
      <c r="B480" s="11" t="n"/>
      <c r="C480" s="11"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row>
    <row r="481">
      <c r="A481" s="11" t="n"/>
      <c r="B481" s="11" t="n"/>
      <c r="C481" s="11"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row>
    <row r="482">
      <c r="A482" s="11" t="n"/>
      <c r="B482" s="11" t="n"/>
      <c r="C482" s="11"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row>
    <row r="483">
      <c r="A483" s="11" t="n"/>
      <c r="B483" s="11" t="n"/>
      <c r="C483" s="11"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row>
    <row r="484">
      <c r="A484" s="11" t="n"/>
      <c r="B484" s="11" t="n"/>
      <c r="C484" s="11"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row>
    <row r="485">
      <c r="A485" s="11" t="n"/>
      <c r="B485" s="11" t="n"/>
      <c r="C485" s="11"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row>
    <row r="486">
      <c r="A486" s="11" t="n"/>
      <c r="B486" s="11" t="n"/>
      <c r="C486" s="11"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row>
    <row r="487">
      <c r="A487" s="11" t="n"/>
      <c r="B487" s="11" t="n"/>
      <c r="C487" s="11"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row>
    <row r="488">
      <c r="A488" s="11" t="n"/>
      <c r="B488" s="11" t="n"/>
      <c r="C488" s="11"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row>
    <row r="489">
      <c r="A489" s="11" t="n"/>
      <c r="B489" s="11" t="n"/>
      <c r="C489" s="11"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row>
    <row r="490">
      <c r="A490" s="11" t="n"/>
      <c r="B490" s="11" t="n"/>
      <c r="C490" s="11"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row>
    <row r="491">
      <c r="A491" s="11" t="n"/>
      <c r="B491" s="11" t="n"/>
      <c r="C491" s="11"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row>
    <row r="492">
      <c r="A492" s="11" t="n"/>
      <c r="B492" s="11" t="n"/>
      <c r="C492" s="11"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row>
    <row r="493">
      <c r="A493" s="11" t="n"/>
      <c r="B493" s="11" t="n"/>
      <c r="C493" s="11"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row>
    <row r="494">
      <c r="A494" s="11" t="n"/>
      <c r="B494" s="11" t="n"/>
      <c r="C494" s="11"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row>
    <row r="495">
      <c r="A495" s="11" t="n"/>
      <c r="B495" s="11" t="n"/>
      <c r="C495" s="11"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row>
    <row r="496">
      <c r="A496" s="11" t="n"/>
      <c r="B496" s="11" t="n"/>
      <c r="C496" s="11"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row>
    <row r="497">
      <c r="A497" s="11" t="n"/>
      <c r="B497" s="11" t="n"/>
      <c r="C497" s="11"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row>
    <row r="498">
      <c r="A498" s="11" t="n"/>
      <c r="B498" s="11" t="n"/>
      <c r="C498" s="11"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row>
    <row r="499">
      <c r="A499" s="11" t="n"/>
      <c r="B499" s="11" t="n"/>
      <c r="C499" s="11"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row>
    <row r="500">
      <c r="A500" s="11" t="n"/>
      <c r="B500" s="11" t="n"/>
      <c r="C500" s="11"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row>
    <row r="501">
      <c r="A501" s="11" t="n"/>
      <c r="B501" s="11" t="n"/>
      <c r="C501" s="11"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row>
    <row r="502">
      <c r="A502" s="11" t="n"/>
      <c r="B502" s="11" t="n"/>
      <c r="C502" s="11"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row>
    <row r="503">
      <c r="A503" s="11" t="n"/>
      <c r="B503" s="11" t="n"/>
      <c r="C503" s="11"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row>
    <row r="504">
      <c r="A504" s="11" t="n"/>
      <c r="B504" s="11" t="n"/>
      <c r="C504" s="11"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row>
    <row r="505">
      <c r="A505" s="11" t="n"/>
      <c r="B505" s="11" t="n"/>
      <c r="C505" s="11"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row>
    <row r="506">
      <c r="A506" s="11" t="n"/>
      <c r="B506" s="11" t="n"/>
      <c r="C506" s="11"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row>
    <row r="507">
      <c r="A507" s="11" t="n"/>
      <c r="B507" s="11" t="n"/>
      <c r="C507" s="11"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row>
    <row r="508">
      <c r="A508" s="11" t="n"/>
      <c r="B508" s="11" t="n"/>
      <c r="C508" s="11"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row>
    <row r="509">
      <c r="A509" s="11" t="n"/>
      <c r="B509" s="11" t="n"/>
      <c r="C509" s="11"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row>
    <row r="510">
      <c r="A510" s="11" t="n"/>
      <c r="B510" s="11" t="n"/>
      <c r="C510" s="11"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row>
    <row r="511">
      <c r="A511" s="11" t="n"/>
      <c r="B511" s="11" t="n"/>
      <c r="C511" s="11"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row>
    <row r="512">
      <c r="A512" s="11" t="n"/>
      <c r="B512" s="11" t="n"/>
      <c r="C512" s="11"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row>
    <row r="513">
      <c r="A513" s="11" t="n"/>
      <c r="B513" s="11" t="n"/>
      <c r="C513" s="11"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row>
    <row r="514">
      <c r="A514" s="11" t="n"/>
      <c r="B514" s="11" t="n"/>
      <c r="C514" s="11"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row>
    <row r="515">
      <c r="A515" s="11" t="n"/>
      <c r="B515" s="11" t="n"/>
      <c r="C515" s="11"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row>
    <row r="516">
      <c r="A516" s="11" t="n"/>
      <c r="B516" s="11" t="n"/>
      <c r="C516" s="11"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row>
    <row r="517">
      <c r="A517" s="11" t="n"/>
      <c r="B517" s="11" t="n"/>
      <c r="C517" s="11"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row>
    <row r="518">
      <c r="A518" s="11" t="n"/>
      <c r="B518" s="11" t="n"/>
      <c r="C518" s="11"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row>
    <row r="519">
      <c r="A519" s="11" t="n"/>
      <c r="B519" s="11" t="n"/>
      <c r="C519" s="11"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row>
    <row r="520">
      <c r="A520" s="11" t="n"/>
      <c r="B520" s="11" t="n"/>
      <c r="C520" s="11"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row>
    <row r="521">
      <c r="A521" s="11" t="n"/>
      <c r="B521" s="11" t="n"/>
      <c r="C521" s="11"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row>
    <row r="522">
      <c r="A522" s="11" t="n"/>
      <c r="B522" s="11" t="n"/>
      <c r="C522" s="11"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row>
    <row r="523">
      <c r="A523" s="11" t="n"/>
      <c r="B523" s="11" t="n"/>
      <c r="C523" s="11"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row>
    <row r="524">
      <c r="A524" s="11" t="n"/>
      <c r="B524" s="11" t="n"/>
      <c r="C524" s="11"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row>
    <row r="525">
      <c r="A525" s="11" t="n"/>
      <c r="B525" s="11" t="n"/>
      <c r="C525" s="11"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row>
    <row r="526">
      <c r="A526" s="11" t="n"/>
      <c r="B526" s="11" t="n"/>
      <c r="C526" s="11"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row>
    <row r="527">
      <c r="A527" s="11" t="n"/>
      <c r="B527" s="11" t="n"/>
      <c r="C527" s="11"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row>
    <row r="528">
      <c r="A528" s="11" t="n"/>
      <c r="B528" s="11" t="n"/>
      <c r="C528" s="11"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row>
    <row r="529">
      <c r="A529" s="11" t="n"/>
      <c r="B529" s="11" t="n"/>
      <c r="C529" s="11"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row>
    <row r="530">
      <c r="A530" s="11" t="n"/>
      <c r="B530" s="11" t="n"/>
      <c r="C530" s="11"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row>
    <row r="531">
      <c r="A531" s="11" t="n"/>
      <c r="B531" s="11" t="n"/>
      <c r="C531" s="11"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row>
    <row r="532">
      <c r="A532" s="11" t="n"/>
      <c r="B532" s="11" t="n"/>
      <c r="C532" s="11"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row>
    <row r="533">
      <c r="A533" s="11" t="n"/>
      <c r="B533" s="11" t="n"/>
      <c r="C533" s="11"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row>
    <row r="534">
      <c r="A534" s="11" t="n"/>
      <c r="B534" s="11" t="n"/>
      <c r="C534" s="11"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row>
    <row r="535">
      <c r="A535" s="11" t="n"/>
      <c r="B535" s="11" t="n"/>
      <c r="C535" s="11"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row>
    <row r="536">
      <c r="A536" s="11" t="n"/>
      <c r="B536" s="11" t="n"/>
      <c r="C536" s="11"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row>
    <row r="537">
      <c r="A537" s="11" t="n"/>
      <c r="B537" s="11" t="n"/>
      <c r="C537" s="11"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row>
    <row r="538">
      <c r="A538" s="11" t="n"/>
      <c r="B538" s="11" t="n"/>
      <c r="C538" s="11"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row>
    <row r="539">
      <c r="A539" s="11" t="n"/>
      <c r="B539" s="11" t="n"/>
      <c r="C539" s="11"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row>
    <row r="540">
      <c r="A540" s="11" t="n"/>
      <c r="B540" s="11" t="n"/>
      <c r="C540" s="11"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row>
    <row r="541">
      <c r="A541" s="11" t="n"/>
      <c r="B541" s="11" t="n"/>
      <c r="C541" s="11"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row>
    <row r="542">
      <c r="A542" s="11" t="n"/>
      <c r="B542" s="11" t="n"/>
      <c r="C542" s="11"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row>
    <row r="543">
      <c r="A543" s="11" t="n"/>
      <c r="B543" s="11" t="n"/>
      <c r="C543" s="11"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row>
    <row r="544">
      <c r="A544" s="11" t="n"/>
      <c r="B544" s="11" t="n"/>
      <c r="C544" s="11"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row>
    <row r="545">
      <c r="A545" s="11" t="n"/>
      <c r="B545" s="11" t="n"/>
      <c r="C545" s="11"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row>
    <row r="546">
      <c r="A546" s="11" t="n"/>
      <c r="B546" s="11" t="n"/>
      <c r="C546" s="11"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row>
    <row r="547">
      <c r="A547" s="11" t="n"/>
      <c r="B547" s="11" t="n"/>
      <c r="C547" s="11"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row>
    <row r="548">
      <c r="A548" s="11" t="n"/>
      <c r="B548" s="11" t="n"/>
      <c r="C548" s="11"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row>
    <row r="549">
      <c r="A549" s="11" t="n"/>
      <c r="B549" s="11" t="n"/>
      <c r="C549" s="11"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row>
    <row r="550">
      <c r="A550" s="11" t="n"/>
      <c r="B550" s="11" t="n"/>
      <c r="C550" s="11"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row>
    <row r="551">
      <c r="A551" s="11" t="n"/>
      <c r="B551" s="11" t="n"/>
      <c r="C551" s="11"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row>
    <row r="552">
      <c r="A552" s="11" t="n"/>
      <c r="B552" s="11" t="n"/>
      <c r="C552" s="11"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row>
    <row r="553">
      <c r="A553" s="11" t="n"/>
      <c r="B553" s="11" t="n"/>
      <c r="C553" s="11"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row>
    <row r="554">
      <c r="A554" s="11" t="n"/>
      <c r="B554" s="11" t="n"/>
      <c r="C554" s="11"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row>
    <row r="555">
      <c r="A555" s="11" t="n"/>
      <c r="B555" s="11" t="n"/>
      <c r="C555" s="11"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row>
    <row r="556">
      <c r="A556" s="11" t="n"/>
      <c r="B556" s="11" t="n"/>
      <c r="C556" s="11"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row>
    <row r="557">
      <c r="A557" s="11" t="n"/>
      <c r="B557" s="11" t="n"/>
      <c r="C557" s="11"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row>
    <row r="558">
      <c r="A558" s="11" t="n"/>
      <c r="B558" s="11" t="n"/>
      <c r="C558" s="11"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row>
    <row r="559">
      <c r="A559" s="11" t="n"/>
      <c r="B559" s="11" t="n"/>
      <c r="C559" s="11"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row>
    <row r="560">
      <c r="A560" s="11" t="n"/>
      <c r="B560" s="11" t="n"/>
      <c r="C560" s="11"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row>
    <row r="561">
      <c r="A561" s="11" t="n"/>
      <c r="B561" s="11" t="n"/>
      <c r="C561" s="11"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row>
    <row r="562">
      <c r="A562" s="11" t="n"/>
      <c r="B562" s="11" t="n"/>
      <c r="C562" s="11"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row>
    <row r="563">
      <c r="A563" s="11" t="n"/>
      <c r="B563" s="11" t="n"/>
      <c r="C563" s="11"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row>
    <row r="564">
      <c r="A564" s="11" t="n"/>
      <c r="B564" s="11" t="n"/>
      <c r="C564" s="11"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row>
    <row r="565">
      <c r="A565" s="11" t="n"/>
      <c r="B565" s="11" t="n"/>
      <c r="C565" s="11"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row>
    <row r="566">
      <c r="A566" s="11" t="n"/>
      <c r="B566" s="11" t="n"/>
      <c r="C566" s="11"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row>
    <row r="567">
      <c r="A567" s="11" t="n"/>
      <c r="B567" s="11" t="n"/>
      <c r="C567" s="11"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row>
    <row r="568">
      <c r="A568" s="11" t="n"/>
      <c r="B568" s="11" t="n"/>
      <c r="C568" s="11"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row>
    <row r="569">
      <c r="A569" s="11" t="n"/>
      <c r="B569" s="11" t="n"/>
      <c r="C569" s="11"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row>
    <row r="570">
      <c r="A570" s="11" t="n"/>
      <c r="B570" s="11" t="n"/>
      <c r="C570" s="11"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row>
    <row r="571">
      <c r="A571" s="11" t="n"/>
      <c r="B571" s="11" t="n"/>
      <c r="C571" s="11"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row>
    <row r="572">
      <c r="A572" s="11" t="n"/>
      <c r="B572" s="11" t="n"/>
      <c r="C572" s="11"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row>
    <row r="573">
      <c r="A573" s="11" t="n"/>
      <c r="B573" s="11" t="n"/>
      <c r="C573" s="11"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row>
    <row r="574">
      <c r="A574" s="11" t="n"/>
      <c r="B574" s="11" t="n"/>
      <c r="C574" s="11"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row>
    <row r="575">
      <c r="A575" s="11" t="n"/>
      <c r="B575" s="11" t="n"/>
      <c r="C575" s="11"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row>
    <row r="576">
      <c r="A576" s="11" t="n"/>
      <c r="B576" s="11" t="n"/>
      <c r="C576" s="11"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row>
    <row r="577">
      <c r="A577" s="11" t="n"/>
      <c r="B577" s="11" t="n"/>
      <c r="C577" s="11"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row>
    <row r="578">
      <c r="A578" s="11" t="n"/>
      <c r="B578" s="11" t="n"/>
      <c r="C578" s="11"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row>
    <row r="579">
      <c r="A579" s="11" t="n"/>
      <c r="B579" s="11" t="n"/>
      <c r="C579" s="11"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row>
    <row r="580">
      <c r="A580" s="11" t="n"/>
      <c r="B580" s="11" t="n"/>
      <c r="C580" s="11"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row>
    <row r="581">
      <c r="A581" s="11" t="n"/>
      <c r="B581" s="11" t="n"/>
      <c r="C581" s="11"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row>
    <row r="582">
      <c r="A582" s="11" t="n"/>
      <c r="B582" s="11" t="n"/>
      <c r="C582" s="11"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row>
    <row r="583">
      <c r="A583" s="11" t="n"/>
      <c r="B583" s="11" t="n"/>
      <c r="C583" s="11"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row>
    <row r="584">
      <c r="A584" s="11" t="n"/>
      <c r="B584" s="11" t="n"/>
      <c r="C584" s="11"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row>
    <row r="585">
      <c r="A585" s="11" t="n"/>
      <c r="B585" s="11" t="n"/>
      <c r="C585" s="11"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row>
    <row r="586">
      <c r="A586" s="11" t="n"/>
      <c r="B586" s="11" t="n"/>
      <c r="C586" s="11"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row>
    <row r="587">
      <c r="A587" s="11" t="n"/>
      <c r="B587" s="11" t="n"/>
      <c r="C587" s="11"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row>
    <row r="588">
      <c r="A588" s="11" t="n"/>
      <c r="B588" s="11" t="n"/>
      <c r="C588" s="11"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row>
    <row r="589">
      <c r="A589" s="11" t="n"/>
      <c r="B589" s="11" t="n"/>
      <c r="C589" s="11"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row>
    <row r="590">
      <c r="A590" s="11" t="n"/>
      <c r="B590" s="11" t="n"/>
      <c r="C590" s="11"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row>
    <row r="591">
      <c r="A591" s="11" t="n"/>
      <c r="B591" s="11" t="n"/>
      <c r="C591" s="11"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row>
    <row r="592">
      <c r="A592" s="11" t="n"/>
      <c r="B592" s="11" t="n"/>
      <c r="C592" s="11"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row>
    <row r="593">
      <c r="A593" s="11" t="n"/>
      <c r="B593" s="11" t="n"/>
      <c r="C593" s="11"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row>
    <row r="594">
      <c r="A594" s="11" t="n"/>
      <c r="B594" s="11" t="n"/>
      <c r="C594" s="11"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row>
    <row r="595">
      <c r="A595" s="11" t="n"/>
      <c r="B595" s="11" t="n"/>
      <c r="C595" s="11"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row>
    <row r="596">
      <c r="A596" s="11" t="n"/>
      <c r="B596" s="11" t="n"/>
      <c r="C596" s="11"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row>
    <row r="597">
      <c r="A597" s="11" t="n"/>
      <c r="B597" s="11" t="n"/>
      <c r="C597" s="11"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row>
    <row r="598">
      <c r="A598" s="11" t="n"/>
      <c r="B598" s="11" t="n"/>
      <c r="C598" s="11"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row>
    <row r="599">
      <c r="A599" s="11" t="n"/>
      <c r="B599" s="11" t="n"/>
      <c r="C599" s="11"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row>
    <row r="600">
      <c r="A600" s="11" t="n"/>
      <c r="B600" s="11" t="n"/>
      <c r="C600" s="11"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row>
    <row r="601">
      <c r="A601" s="11" t="n"/>
      <c r="B601" s="11" t="n"/>
      <c r="C601" s="11"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row>
    <row r="602">
      <c r="A602" s="11" t="n"/>
      <c r="B602" s="11" t="n"/>
      <c r="C602" s="11"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row>
    <row r="603">
      <c r="A603" s="11" t="n"/>
      <c r="B603" s="11" t="n"/>
      <c r="C603" s="11"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row>
    <row r="604">
      <c r="A604" s="11" t="n"/>
      <c r="B604" s="11" t="n"/>
      <c r="C604" s="11"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row>
    <row r="605">
      <c r="A605" s="11" t="n"/>
      <c r="B605" s="11" t="n"/>
      <c r="C605" s="11"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row>
    <row r="606">
      <c r="A606" s="11" t="n"/>
      <c r="B606" s="11" t="n"/>
      <c r="C606" s="11"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row>
    <row r="607">
      <c r="A607" s="11" t="n"/>
      <c r="B607" s="11" t="n"/>
      <c r="C607" s="11"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row>
    <row r="608">
      <c r="A608" s="11" t="n"/>
      <c r="B608" s="11" t="n"/>
      <c r="C608" s="11"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row>
    <row r="609">
      <c r="A609" s="11" t="n"/>
      <c r="B609" s="11" t="n"/>
      <c r="C609" s="11"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row>
    <row r="610">
      <c r="A610" s="11" t="n"/>
      <c r="B610" s="11" t="n"/>
      <c r="C610" s="11"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row>
    <row r="611">
      <c r="A611" s="11" t="n"/>
      <c r="B611" s="11" t="n"/>
      <c r="C611" s="11"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row>
    <row r="612">
      <c r="A612" s="11" t="n"/>
      <c r="B612" s="11" t="n"/>
      <c r="C612" s="11"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row>
    <row r="613">
      <c r="A613" s="11" t="n"/>
      <c r="B613" s="11" t="n"/>
      <c r="C613" s="11"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row>
    <row r="614">
      <c r="A614" s="11" t="n"/>
      <c r="B614" s="11" t="n"/>
      <c r="C614" s="11"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row>
    <row r="615">
      <c r="A615" s="11" t="n"/>
      <c r="B615" s="11" t="n"/>
      <c r="C615" s="11"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row>
    <row r="616">
      <c r="A616" s="11" t="n"/>
      <c r="B616" s="11" t="n"/>
      <c r="C616" s="11"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row>
    <row r="617">
      <c r="A617" s="11" t="n"/>
      <c r="B617" s="11" t="n"/>
      <c r="C617" s="11"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row>
    <row r="618">
      <c r="A618" s="11" t="n"/>
      <c r="B618" s="11" t="n"/>
      <c r="C618" s="11"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row>
    <row r="619">
      <c r="A619" s="11" t="n"/>
      <c r="B619" s="11" t="n"/>
      <c r="C619" s="11"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row>
    <row r="620">
      <c r="A620" s="11" t="n"/>
      <c r="B620" s="11" t="n"/>
      <c r="C620" s="11"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row>
    <row r="621">
      <c r="A621" s="11" t="n"/>
      <c r="B621" s="11" t="n"/>
      <c r="C621" s="11"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row>
    <row r="622">
      <c r="A622" s="11" t="n"/>
      <c r="B622" s="11" t="n"/>
      <c r="C622" s="11"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row>
    <row r="623">
      <c r="A623" s="11" t="n"/>
      <c r="B623" s="11" t="n"/>
      <c r="C623" s="11"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row>
    <row r="624">
      <c r="A624" s="11" t="n"/>
      <c r="B624" s="11" t="n"/>
      <c r="C624" s="11"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row>
    <row r="625">
      <c r="A625" s="11" t="n"/>
      <c r="B625" s="11" t="n"/>
      <c r="C625" s="11"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row>
    <row r="626">
      <c r="A626" s="11" t="n"/>
      <c r="B626" s="11" t="n"/>
      <c r="C626" s="11"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row>
    <row r="627">
      <c r="A627" s="11" t="n"/>
      <c r="B627" s="11" t="n"/>
      <c r="C627" s="11"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row>
    <row r="628">
      <c r="A628" s="11" t="n"/>
      <c r="B628" s="11" t="n"/>
      <c r="C628" s="11"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row>
    <row r="629">
      <c r="A629" s="11" t="n"/>
      <c r="B629" s="11" t="n"/>
      <c r="C629" s="11"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row>
    <row r="630">
      <c r="A630" s="11" t="n"/>
      <c r="B630" s="11" t="n"/>
      <c r="C630" s="11"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row>
    <row r="631">
      <c r="A631" s="11" t="n"/>
      <c r="B631" s="11" t="n"/>
      <c r="C631" s="11"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row>
    <row r="632">
      <c r="A632" s="11" t="n"/>
      <c r="B632" s="11" t="n"/>
      <c r="C632" s="11"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row>
    <row r="633">
      <c r="A633" s="11" t="n"/>
      <c r="B633" s="11" t="n"/>
      <c r="C633" s="11"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row>
    <row r="634">
      <c r="A634" s="11" t="n"/>
      <c r="B634" s="11" t="n"/>
      <c r="C634" s="11"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row>
    <row r="635">
      <c r="A635" s="11" t="n"/>
      <c r="B635" s="11" t="n"/>
      <c r="C635" s="11"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row>
    <row r="636">
      <c r="A636" s="11" t="n"/>
      <c r="B636" s="11" t="n"/>
      <c r="C636" s="11"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row>
    <row r="637">
      <c r="A637" s="11" t="n"/>
      <c r="B637" s="11" t="n"/>
      <c r="C637" s="11"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row>
    <row r="638">
      <c r="A638" s="11" t="n"/>
      <c r="B638" s="11" t="n"/>
      <c r="C638" s="11"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row>
    <row r="639">
      <c r="A639" s="11" t="n"/>
      <c r="B639" s="11" t="n"/>
      <c r="C639" s="11"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row>
    <row r="640">
      <c r="A640" s="11" t="n"/>
      <c r="B640" s="11" t="n"/>
      <c r="C640" s="11"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row>
    <row r="641">
      <c r="A641" s="11" t="n"/>
      <c r="B641" s="11" t="n"/>
      <c r="C641" s="11"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row>
    <row r="642">
      <c r="A642" s="11" t="n"/>
      <c r="B642" s="11" t="n"/>
      <c r="C642" s="11"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row>
    <row r="643">
      <c r="A643" s="11" t="n"/>
      <c r="B643" s="11" t="n"/>
      <c r="C643" s="11"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row>
    <row r="644">
      <c r="A644" s="11" t="n"/>
      <c r="B644" s="11" t="n"/>
      <c r="C644" s="11"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row>
    <row r="645">
      <c r="A645" s="11" t="n"/>
      <c r="B645" s="11" t="n"/>
      <c r="C645" s="11"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row>
    <row r="646">
      <c r="A646" s="11" t="n"/>
      <c r="B646" s="11" t="n"/>
      <c r="C646" s="11"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row>
    <row r="647">
      <c r="A647" s="11" t="n"/>
      <c r="B647" s="11" t="n"/>
      <c r="C647" s="11"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row>
    <row r="648">
      <c r="A648" s="11" t="n"/>
      <c r="B648" s="11" t="n"/>
      <c r="C648" s="11"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row>
    <row r="649">
      <c r="A649" s="11" t="n"/>
      <c r="B649" s="11" t="n"/>
      <c r="C649" s="11"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row>
    <row r="650">
      <c r="A650" s="11" t="n"/>
      <c r="B650" s="11" t="n"/>
      <c r="C650" s="11"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row>
    <row r="651">
      <c r="A651" s="11" t="n"/>
      <c r="B651" s="11" t="n"/>
      <c r="C651" s="11"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row>
    <row r="652">
      <c r="A652" s="11" t="n"/>
      <c r="B652" s="11" t="n"/>
      <c r="C652" s="11"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row>
    <row r="653">
      <c r="A653" s="11" t="n"/>
      <c r="B653" s="11" t="n"/>
      <c r="C653" s="11"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row>
    <row r="654">
      <c r="A654" s="11" t="n"/>
      <c r="B654" s="11" t="n"/>
      <c r="C654" s="11"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row>
    <row r="655">
      <c r="A655" s="11" t="n"/>
      <c r="B655" s="11" t="n"/>
      <c r="C655" s="11"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row>
    <row r="656">
      <c r="A656" s="11" t="n"/>
      <c r="B656" s="11" t="n"/>
      <c r="C656" s="11"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row>
    <row r="657">
      <c r="A657" s="11" t="n"/>
      <c r="B657" s="11" t="n"/>
      <c r="C657" s="11"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row>
    <row r="658">
      <c r="A658" s="11" t="n"/>
      <c r="B658" s="11" t="n"/>
      <c r="C658" s="11"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row>
    <row r="659">
      <c r="A659" s="11" t="n"/>
      <c r="B659" s="11" t="n"/>
      <c r="C659" s="11"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row>
    <row r="660">
      <c r="A660" s="11" t="n"/>
      <c r="B660" s="11" t="n"/>
      <c r="C660" s="11"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row>
    <row r="661">
      <c r="A661" s="11" t="n"/>
      <c r="B661" s="11" t="n"/>
      <c r="C661" s="11"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row>
    <row r="662">
      <c r="A662" s="11" t="n"/>
      <c r="B662" s="11" t="n"/>
      <c r="C662" s="11"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row>
    <row r="663">
      <c r="A663" s="11" t="n"/>
      <c r="B663" s="11" t="n"/>
      <c r="C663" s="11"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row>
    <row r="664">
      <c r="A664" s="11" t="n"/>
      <c r="B664" s="11" t="n"/>
      <c r="C664" s="11"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row>
    <row r="665">
      <c r="A665" s="11" t="n"/>
      <c r="B665" s="11" t="n"/>
      <c r="C665" s="11"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row>
    <row r="666">
      <c r="A666" s="11" t="n"/>
      <c r="B666" s="11" t="n"/>
      <c r="C666" s="11"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row>
    <row r="667">
      <c r="A667" s="11" t="n"/>
      <c r="B667" s="11" t="n"/>
      <c r="C667" s="11"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row>
    <row r="668">
      <c r="A668" s="11" t="n"/>
      <c r="B668" s="11" t="n"/>
      <c r="C668" s="11"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row>
    <row r="669">
      <c r="A669" s="11" t="n"/>
      <c r="B669" s="11" t="n"/>
      <c r="C669" s="11"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row>
    <row r="670">
      <c r="A670" s="11" t="n"/>
      <c r="B670" s="11" t="n"/>
      <c r="C670" s="11"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row>
    <row r="671">
      <c r="A671" s="11" t="n"/>
      <c r="B671" s="11" t="n"/>
      <c r="C671" s="11"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row>
    <row r="672">
      <c r="A672" s="11" t="n"/>
      <c r="B672" s="11" t="n"/>
      <c r="C672" s="11"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row>
    <row r="673">
      <c r="A673" s="11" t="n"/>
      <c r="B673" s="11" t="n"/>
      <c r="C673" s="11"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row>
    <row r="674">
      <c r="A674" s="11" t="n"/>
      <c r="B674" s="11" t="n"/>
      <c r="C674" s="11"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row>
    <row r="675">
      <c r="A675" s="11" t="n"/>
      <c r="B675" s="11" t="n"/>
      <c r="C675" s="11"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row>
    <row r="676">
      <c r="A676" s="11" t="n"/>
      <c r="B676" s="11" t="n"/>
      <c r="C676" s="11"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row>
    <row r="677">
      <c r="A677" s="11" t="n"/>
      <c r="B677" s="11" t="n"/>
      <c r="C677" s="11"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row>
    <row r="678">
      <c r="A678" s="11" t="n"/>
      <c r="B678" s="11" t="n"/>
      <c r="C678" s="11"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row>
    <row r="679">
      <c r="A679" s="11" t="n"/>
      <c r="B679" s="11" t="n"/>
      <c r="C679" s="11"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row>
    <row r="680">
      <c r="A680" s="11" t="n"/>
      <c r="B680" s="11" t="n"/>
      <c r="C680" s="11"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row>
    <row r="681">
      <c r="A681" s="11" t="n"/>
      <c r="B681" s="11" t="n"/>
      <c r="C681" s="11"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row>
    <row r="682">
      <c r="A682" s="11" t="n"/>
      <c r="B682" s="11" t="n"/>
      <c r="C682" s="11"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row>
    <row r="683">
      <c r="A683" s="11" t="n"/>
      <c r="B683" s="11" t="n"/>
      <c r="C683" s="11"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row>
    <row r="684">
      <c r="A684" s="11" t="n"/>
      <c r="B684" s="11" t="n"/>
      <c r="C684" s="11"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row>
    <row r="685">
      <c r="A685" s="11" t="n"/>
      <c r="B685" s="11" t="n"/>
      <c r="C685" s="11"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row>
    <row r="686">
      <c r="A686" s="11" t="n"/>
      <c r="B686" s="11" t="n"/>
      <c r="C686" s="11"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row>
    <row r="687">
      <c r="A687" s="11" t="n"/>
      <c r="B687" s="11" t="n"/>
      <c r="C687" s="11"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row>
    <row r="688">
      <c r="A688" s="11" t="n"/>
      <c r="B688" s="11" t="n"/>
      <c r="C688" s="11"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row>
    <row r="689">
      <c r="A689" s="11" t="n"/>
      <c r="B689" s="11" t="n"/>
      <c r="C689" s="11"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row>
    <row r="690">
      <c r="A690" s="11" t="n"/>
      <c r="B690" s="11" t="n"/>
      <c r="C690" s="11"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row>
    <row r="691">
      <c r="A691" s="11" t="n"/>
      <c r="B691" s="11" t="n"/>
      <c r="C691" s="11"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row>
    <row r="692">
      <c r="A692" s="11" t="n"/>
      <c r="B692" s="11" t="n"/>
      <c r="C692" s="11"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row>
    <row r="693">
      <c r="A693" s="11" t="n"/>
      <c r="B693" s="11" t="n"/>
      <c r="C693" s="11"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row>
    <row r="694">
      <c r="A694" s="11" t="n"/>
      <c r="B694" s="11" t="n"/>
      <c r="C694" s="11"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row>
    <row r="695">
      <c r="A695" s="11" t="n"/>
      <c r="B695" s="11" t="n"/>
      <c r="C695" s="11"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row>
    <row r="696">
      <c r="A696" s="11" t="n"/>
      <c r="B696" s="11" t="n"/>
      <c r="C696" s="11"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row>
    <row r="697">
      <c r="A697" s="11" t="n"/>
      <c r="B697" s="11" t="n"/>
      <c r="C697" s="11"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row>
    <row r="698">
      <c r="A698" s="11" t="n"/>
      <c r="B698" s="11" t="n"/>
      <c r="C698" s="11"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row>
    <row r="699">
      <c r="A699" s="11" t="n"/>
      <c r="B699" s="11" t="n"/>
      <c r="C699" s="11"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row>
    <row r="700">
      <c r="A700" s="11" t="n"/>
      <c r="B700" s="11" t="n"/>
      <c r="C700" s="11"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row>
    <row r="701">
      <c r="A701" s="11" t="n"/>
      <c r="B701" s="11" t="n"/>
      <c r="C701" s="11"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row>
    <row r="702">
      <c r="A702" s="11" t="n"/>
      <c r="B702" s="11" t="n"/>
      <c r="C702" s="11"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row>
    <row r="703">
      <c r="A703" s="11" t="n"/>
      <c r="B703" s="11" t="n"/>
      <c r="C703" s="11"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row>
    <row r="704">
      <c r="A704" s="11" t="n"/>
      <c r="B704" s="11" t="n"/>
      <c r="C704" s="11"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row>
    <row r="705">
      <c r="A705" s="11" t="n"/>
      <c r="B705" s="11" t="n"/>
      <c r="C705" s="11"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row>
    <row r="706">
      <c r="A706" s="11" t="n"/>
      <c r="B706" s="11" t="n"/>
      <c r="C706" s="11"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row>
    <row r="707">
      <c r="A707" s="11" t="n"/>
      <c r="B707" s="11" t="n"/>
      <c r="C707" s="11"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row>
    <row r="708">
      <c r="A708" s="11" t="n"/>
      <c r="B708" s="11" t="n"/>
      <c r="C708" s="11"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row>
    <row r="709">
      <c r="A709" s="11" t="n"/>
      <c r="B709" s="11" t="n"/>
      <c r="C709" s="11"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row>
    <row r="710">
      <c r="A710" s="11" t="n"/>
      <c r="B710" s="11" t="n"/>
      <c r="C710" s="11"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row>
    <row r="711">
      <c r="A711" s="11" t="n"/>
      <c r="B711" s="11" t="n"/>
      <c r="C711" s="11"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row>
    <row r="712">
      <c r="A712" s="11" t="n"/>
      <c r="B712" s="11" t="n"/>
      <c r="C712" s="11"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row>
    <row r="713">
      <c r="A713" s="11" t="n"/>
      <c r="B713" s="11" t="n"/>
      <c r="C713" s="11"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row>
    <row r="714">
      <c r="A714" s="11" t="n"/>
      <c r="B714" s="11" t="n"/>
      <c r="C714" s="11"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row>
    <row r="715">
      <c r="A715" s="11" t="n"/>
      <c r="B715" s="11" t="n"/>
      <c r="C715" s="11"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row>
    <row r="716">
      <c r="A716" s="11" t="n"/>
      <c r="B716" s="11" t="n"/>
      <c r="C716" s="11"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row>
    <row r="717">
      <c r="A717" s="11" t="n"/>
      <c r="B717" s="11" t="n"/>
      <c r="C717" s="11"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row>
    <row r="718">
      <c r="A718" s="11" t="n"/>
      <c r="B718" s="11" t="n"/>
      <c r="C718" s="11"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row>
    <row r="719">
      <c r="A719" s="11" t="n"/>
      <c r="B719" s="11" t="n"/>
      <c r="C719" s="11"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row>
    <row r="720">
      <c r="A720" s="11" t="n"/>
      <c r="B720" s="11" t="n"/>
      <c r="C720" s="11"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row>
    <row r="721">
      <c r="A721" s="11" t="n"/>
      <c r="B721" s="11" t="n"/>
      <c r="C721" s="11"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row>
    <row r="722">
      <c r="A722" s="11" t="n"/>
      <c r="B722" s="11" t="n"/>
      <c r="C722" s="11"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row>
    <row r="723">
      <c r="A723" s="11" t="n"/>
      <c r="B723" s="11" t="n"/>
      <c r="C723" s="11"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row>
    <row r="724">
      <c r="A724" s="11" t="n"/>
      <c r="B724" s="11" t="n"/>
      <c r="C724" s="11"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row>
    <row r="725">
      <c r="A725" s="11" t="n"/>
      <c r="B725" s="11" t="n"/>
      <c r="C725" s="11"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row>
    <row r="726">
      <c r="A726" s="11" t="n"/>
      <c r="B726" s="11" t="n"/>
      <c r="C726" s="11"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row>
    <row r="727">
      <c r="A727" s="11" t="n"/>
      <c r="B727" s="11" t="n"/>
      <c r="C727" s="11"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row>
    <row r="728">
      <c r="A728" s="11" t="n"/>
      <c r="B728" s="11" t="n"/>
      <c r="C728" s="11"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row>
    <row r="729">
      <c r="A729" s="11" t="n"/>
      <c r="B729" s="11" t="n"/>
      <c r="C729" s="11"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row>
    <row r="730">
      <c r="A730" s="11" t="n"/>
      <c r="B730" s="11" t="n"/>
      <c r="C730" s="11"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row>
    <row r="731">
      <c r="A731" s="11" t="n"/>
      <c r="B731" s="11" t="n"/>
      <c r="C731" s="11"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row>
    <row r="732">
      <c r="A732" s="11" t="n"/>
      <c r="B732" s="11" t="n"/>
      <c r="C732" s="11"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row>
    <row r="733">
      <c r="A733" s="11" t="n"/>
      <c r="B733" s="11" t="n"/>
      <c r="C733" s="11"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row>
    <row r="734">
      <c r="A734" s="11" t="n"/>
      <c r="B734" s="11" t="n"/>
      <c r="C734" s="11"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row>
    <row r="735">
      <c r="A735" s="11" t="n"/>
      <c r="B735" s="11" t="n"/>
      <c r="C735" s="11"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row>
    <row r="736">
      <c r="A736" s="11" t="n"/>
      <c r="B736" s="11" t="n"/>
      <c r="C736" s="11"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row>
    <row r="737">
      <c r="A737" s="11" t="n"/>
      <c r="B737" s="11" t="n"/>
      <c r="C737" s="11"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row>
    <row r="738">
      <c r="A738" s="11" t="n"/>
      <c r="B738" s="11" t="n"/>
      <c r="C738" s="11"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row>
    <row r="739">
      <c r="A739" s="11" t="n"/>
      <c r="B739" s="11" t="n"/>
      <c r="C739" s="11"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row>
    <row r="740">
      <c r="A740" s="11" t="n"/>
      <c r="B740" s="11" t="n"/>
      <c r="C740" s="11"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row>
    <row r="741">
      <c r="A741" s="11" t="n"/>
      <c r="B741" s="11" t="n"/>
      <c r="C741" s="11"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row>
    <row r="742">
      <c r="A742" s="11" t="n"/>
      <c r="B742" s="11" t="n"/>
      <c r="C742" s="11"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row>
    <row r="743">
      <c r="A743" s="11" t="n"/>
      <c r="B743" s="11" t="n"/>
      <c r="C743" s="11"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row>
    <row r="744">
      <c r="A744" s="11" t="n"/>
      <c r="B744" s="11" t="n"/>
      <c r="C744" s="11"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row>
    <row r="745">
      <c r="A745" s="11" t="n"/>
      <c r="B745" s="11" t="n"/>
      <c r="C745" s="11"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row>
    <row r="746">
      <c r="A746" s="11" t="n"/>
      <c r="B746" s="11" t="n"/>
      <c r="C746" s="11"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row>
    <row r="747">
      <c r="A747" s="11" t="n"/>
      <c r="B747" s="11" t="n"/>
      <c r="C747" s="11"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row>
    <row r="748">
      <c r="A748" s="11" t="n"/>
      <c r="B748" s="11" t="n"/>
      <c r="C748" s="11"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row>
    <row r="749">
      <c r="A749" s="11" t="n"/>
      <c r="B749" s="11" t="n"/>
      <c r="C749" s="11"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row>
    <row r="750">
      <c r="A750" s="11" t="n"/>
      <c r="B750" s="11" t="n"/>
      <c r="C750" s="11"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row>
    <row r="751">
      <c r="A751" s="11" t="n"/>
      <c r="B751" s="11" t="n"/>
      <c r="C751" s="11"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row>
    <row r="752">
      <c r="A752" s="11" t="n"/>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row>
    <row r="753">
      <c r="A753" s="11" t="n"/>
      <c r="B753" s="11" t="n"/>
      <c r="C753" s="11"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row>
    <row r="754">
      <c r="A754" s="11" t="n"/>
      <c r="B754" s="11" t="n"/>
      <c r="C754" s="11"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row>
    <row r="755">
      <c r="A755" s="11" t="n"/>
      <c r="B755" s="11" t="n"/>
      <c r="C755" s="11"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row>
    <row r="756">
      <c r="A756" s="11" t="n"/>
      <c r="B756" s="11" t="n"/>
      <c r="C756" s="11"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row>
    <row r="757">
      <c r="A757" s="11" t="n"/>
      <c r="B757" s="11" t="n"/>
      <c r="C757" s="11"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row>
    <row r="758">
      <c r="A758" s="11" t="n"/>
      <c r="B758" s="11" t="n"/>
      <c r="C758" s="11"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row>
    <row r="759">
      <c r="A759" s="11" t="n"/>
      <c r="B759" s="11" t="n"/>
      <c r="C759" s="11"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row>
    <row r="760">
      <c r="A760" s="11" t="n"/>
      <c r="B760" s="11" t="n"/>
      <c r="C760" s="11"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row>
    <row r="761">
      <c r="A761" s="11" t="n"/>
      <c r="B761" s="11" t="n"/>
      <c r="C761" s="11"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row>
    <row r="762">
      <c r="A762" s="11" t="n"/>
      <c r="B762" s="11" t="n"/>
      <c r="C762" s="11"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row>
    <row r="763">
      <c r="A763" s="11" t="n"/>
      <c r="B763" s="11" t="n"/>
      <c r="C763" s="11"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row>
    <row r="764">
      <c r="A764" s="11" t="n"/>
      <c r="B764" s="11" t="n"/>
      <c r="C764" s="11"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row>
    <row r="765">
      <c r="A765" s="11" t="n"/>
      <c r="B765" s="11" t="n"/>
      <c r="C765" s="11"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row>
    <row r="766">
      <c r="A766" s="11" t="n"/>
      <c r="B766" s="11" t="n"/>
      <c r="C766" s="11"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row>
    <row r="767">
      <c r="A767" s="11" t="n"/>
      <c r="B767" s="11" t="n"/>
      <c r="C767" s="11"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row>
    <row r="768">
      <c r="A768" s="11" t="n"/>
      <c r="B768" s="11" t="n"/>
      <c r="C768" s="11"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row>
    <row r="769">
      <c r="A769" s="11" t="n"/>
      <c r="B769" s="11" t="n"/>
      <c r="C769" s="11"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row>
    <row r="770">
      <c r="A770" s="11" t="n"/>
      <c r="B770" s="11" t="n"/>
      <c r="C770" s="11"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row>
    <row r="771">
      <c r="A771" s="11" t="n"/>
      <c r="B771" s="11" t="n"/>
      <c r="C771" s="11"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row>
    <row r="772">
      <c r="A772" s="11" t="n"/>
      <c r="B772" s="11" t="n"/>
      <c r="C772" s="11"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row>
    <row r="773">
      <c r="A773" s="11" t="n"/>
      <c r="B773" s="11" t="n"/>
      <c r="C773" s="11"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row>
    <row r="774">
      <c r="A774" s="11" t="n"/>
      <c r="B774" s="11" t="n"/>
      <c r="C774" s="11"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row>
    <row r="775">
      <c r="A775" s="11" t="n"/>
      <c r="B775" s="11" t="n"/>
      <c r="C775" s="11"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row>
    <row r="776">
      <c r="A776" s="11" t="n"/>
      <c r="B776" s="11" t="n"/>
      <c r="C776" s="11"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row>
    <row r="777">
      <c r="A777" s="11" t="n"/>
      <c r="B777" s="11" t="n"/>
      <c r="C777" s="11"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row>
    <row r="778">
      <c r="A778" s="11" t="n"/>
      <c r="B778" s="11" t="n"/>
      <c r="C778" s="11"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row>
    <row r="779">
      <c r="A779" s="11" t="n"/>
      <c r="B779" s="11" t="n"/>
      <c r="C779" s="11"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row>
    <row r="780">
      <c r="A780" s="11" t="n"/>
      <c r="B780" s="11" t="n"/>
      <c r="C780" s="11"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row>
    <row r="781">
      <c r="A781" s="11" t="n"/>
      <c r="B781" s="11" t="n"/>
      <c r="C781" s="11"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row>
    <row r="782">
      <c r="A782" s="11" t="n"/>
      <c r="B782" s="11" t="n"/>
      <c r="C782" s="11"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row>
    <row r="783">
      <c r="A783" s="11" t="n"/>
      <c r="B783" s="11" t="n"/>
      <c r="C783" s="11"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row>
    <row r="784">
      <c r="A784" s="11" t="n"/>
      <c r="B784" s="11" t="n"/>
      <c r="C784" s="11"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row>
    <row r="785">
      <c r="A785" s="11" t="n"/>
      <c r="B785" s="11" t="n"/>
      <c r="C785" s="11"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row>
    <row r="786">
      <c r="A786" s="11" t="n"/>
      <c r="B786" s="11" t="n"/>
      <c r="C786" s="11"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row>
    <row r="787">
      <c r="A787" s="11" t="n"/>
      <c r="B787" s="11" t="n"/>
      <c r="C787" s="11"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row>
    <row r="788">
      <c r="A788" s="11" t="n"/>
      <c r="B788" s="11" t="n"/>
      <c r="C788" s="11"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row>
    <row r="789">
      <c r="A789" s="11" t="n"/>
      <c r="B789" s="11" t="n"/>
      <c r="C789" s="11"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row>
    <row r="790">
      <c r="A790" s="11" t="n"/>
      <c r="B790" s="11" t="n"/>
      <c r="C790" s="11"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row>
    <row r="791">
      <c r="A791" s="11" t="n"/>
      <c r="B791" s="11" t="n"/>
      <c r="C791" s="11"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row>
    <row r="792">
      <c r="A792" s="11" t="n"/>
      <c r="B792" s="11" t="n"/>
      <c r="C792" s="11"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row>
    <row r="793">
      <c r="A793" s="11" t="n"/>
      <c r="B793" s="11" t="n"/>
      <c r="C793" s="11"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row>
    <row r="794">
      <c r="A794" s="11" t="n"/>
      <c r="B794" s="11" t="n"/>
      <c r="C794" s="11"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row>
    <row r="795">
      <c r="A795" s="11" t="n"/>
      <c r="B795" s="11" t="n"/>
      <c r="C795" s="11"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row>
    <row r="796">
      <c r="A796" s="11" t="n"/>
      <c r="B796" s="11" t="n"/>
      <c r="C796" s="11"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row>
    <row r="797">
      <c r="A797" s="11" t="n"/>
      <c r="B797" s="11" t="n"/>
      <c r="C797" s="11"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row>
    <row r="798">
      <c r="A798" s="11" t="n"/>
      <c r="B798" s="11" t="n"/>
      <c r="C798" s="11"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row>
    <row r="799">
      <c r="A799" s="11" t="n"/>
      <c r="B799" s="11" t="n"/>
      <c r="C799" s="11"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row>
    <row r="800">
      <c r="A800" s="11" t="n"/>
      <c r="B800" s="11" t="n"/>
      <c r="C800" s="11"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row>
    <row r="801">
      <c r="A801" s="11" t="n"/>
      <c r="B801" s="11" t="n"/>
      <c r="C801" s="11"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row>
    <row r="802">
      <c r="A802" s="11" t="n"/>
      <c r="B802" s="11" t="n"/>
      <c r="C802" s="11"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row>
    <row r="803">
      <c r="A803" s="11" t="n"/>
      <c r="B803" s="11" t="n"/>
      <c r="C803" s="11"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row>
    <row r="804">
      <c r="A804" s="11" t="n"/>
      <c r="B804" s="11" t="n"/>
      <c r="C804" s="11"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row>
    <row r="805">
      <c r="A805" s="11" t="n"/>
      <c r="B805" s="11" t="n"/>
      <c r="C805" s="11"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row>
    <row r="806">
      <c r="A806" s="11" t="n"/>
      <c r="B806" s="11" t="n"/>
      <c r="C806" s="11"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row>
    <row r="807">
      <c r="A807" s="11" t="n"/>
      <c r="B807" s="11" t="n"/>
      <c r="C807" s="11"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row>
    <row r="808">
      <c r="A808" s="11" t="n"/>
      <c r="B808" s="11" t="n"/>
      <c r="C808" s="11"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row>
    <row r="809">
      <c r="A809" s="11" t="n"/>
      <c r="B809" s="11" t="n"/>
      <c r="C809" s="11"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row>
    <row r="810">
      <c r="A810" s="11" t="n"/>
      <c r="B810" s="11" t="n"/>
      <c r="C810" s="11"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row>
    <row r="811">
      <c r="A811" s="11" t="n"/>
      <c r="B811" s="11" t="n"/>
      <c r="C811" s="11"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row>
    <row r="812">
      <c r="A812" s="11" t="n"/>
      <c r="B812" s="11" t="n"/>
      <c r="C812" s="11"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row>
    <row r="813">
      <c r="A813" s="11" t="n"/>
      <c r="B813" s="11" t="n"/>
      <c r="C813" s="11"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row>
    <row r="814">
      <c r="A814" s="11" t="n"/>
      <c r="B814" s="11" t="n"/>
      <c r="C814" s="11"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row>
    <row r="815">
      <c r="A815" s="11" t="n"/>
      <c r="B815" s="11" t="n"/>
      <c r="C815" s="11"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row>
    <row r="816">
      <c r="A816" s="11" t="n"/>
      <c r="B816" s="11" t="n"/>
      <c r="C816" s="11"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row>
    <row r="817">
      <c r="A817" s="11" t="n"/>
      <c r="B817" s="11" t="n"/>
      <c r="C817" s="11"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row>
    <row r="818">
      <c r="A818" s="11" t="n"/>
      <c r="B818" s="11" t="n"/>
      <c r="C818" s="11"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row>
    <row r="819">
      <c r="A819" s="11" t="n"/>
      <c r="B819" s="11" t="n"/>
      <c r="C819" s="11"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row>
    <row r="820">
      <c r="A820" s="11" t="n"/>
      <c r="B820" s="11" t="n"/>
      <c r="C820" s="11"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row>
    <row r="821">
      <c r="A821" s="11" t="n"/>
      <c r="B821" s="11" t="n"/>
      <c r="C821" s="11"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row>
    <row r="822">
      <c r="A822" s="11" t="n"/>
      <c r="B822" s="11" t="n"/>
      <c r="C822" s="11"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row>
    <row r="823">
      <c r="A823" s="11" t="n"/>
      <c r="B823" s="11" t="n"/>
      <c r="C823" s="11"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row>
    <row r="824">
      <c r="A824" s="11" t="n"/>
      <c r="B824" s="11" t="n"/>
      <c r="C824" s="11"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row>
    <row r="825">
      <c r="A825" s="11" t="n"/>
      <c r="B825" s="11" t="n"/>
      <c r="C825" s="11"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row>
    <row r="826">
      <c r="A826" s="11" t="n"/>
      <c r="B826" s="11" t="n"/>
      <c r="C826" s="11"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row>
    <row r="827">
      <c r="A827" s="11" t="n"/>
      <c r="B827" s="11" t="n"/>
      <c r="C827" s="11"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row>
    <row r="828">
      <c r="A828" s="11" t="n"/>
      <c r="B828" s="11" t="n"/>
      <c r="C828" s="11"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row>
    <row r="829">
      <c r="A829" s="11" t="n"/>
      <c r="B829" s="11" t="n"/>
      <c r="C829" s="11"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row>
    <row r="830">
      <c r="A830" s="11" t="n"/>
      <c r="B830" s="11" t="n"/>
      <c r="C830" s="11"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row>
    <row r="831">
      <c r="A831" s="11" t="n"/>
      <c r="B831" s="11" t="n"/>
      <c r="C831" s="11"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row>
    <row r="832">
      <c r="A832" s="11" t="n"/>
      <c r="B832" s="11" t="n"/>
      <c r="C832" s="11"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row>
    <row r="833">
      <c r="A833" s="11" t="n"/>
      <c r="B833" s="11" t="n"/>
      <c r="C833" s="11"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row>
    <row r="834">
      <c r="A834" s="11" t="n"/>
      <c r="B834" s="11" t="n"/>
      <c r="C834" s="11"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row>
    <row r="835">
      <c r="A835" s="11" t="n"/>
      <c r="B835" s="11" t="n"/>
      <c r="C835" s="11"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row>
    <row r="836">
      <c r="A836" s="11" t="n"/>
      <c r="B836" s="11" t="n"/>
      <c r="C836" s="11"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row>
    <row r="837">
      <c r="A837" s="11" t="n"/>
      <c r="B837" s="11" t="n"/>
      <c r="C837" s="11"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row>
    <row r="838">
      <c r="A838" s="11" t="n"/>
      <c r="B838" s="11" t="n"/>
      <c r="C838" s="11"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row>
    <row r="839">
      <c r="A839" s="11" t="n"/>
      <c r="B839" s="11" t="n"/>
      <c r="C839" s="11"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row>
    <row r="840">
      <c r="A840" s="11" t="n"/>
      <c r="B840" s="11" t="n"/>
      <c r="C840" s="11"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row>
    <row r="841">
      <c r="A841" s="11" t="n"/>
      <c r="B841" s="11" t="n"/>
      <c r="C841" s="11"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row>
    <row r="842">
      <c r="A842" s="11" t="n"/>
      <c r="B842" s="11" t="n"/>
      <c r="C842" s="11"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row>
    <row r="843">
      <c r="A843" s="11" t="n"/>
      <c r="B843" s="11" t="n"/>
      <c r="C843" s="11"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row>
    <row r="844">
      <c r="A844" s="11" t="n"/>
      <c r="B844" s="11" t="n"/>
      <c r="C844" s="11"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row>
    <row r="845">
      <c r="A845" s="11" t="n"/>
      <c r="B845" s="11" t="n"/>
      <c r="C845" s="11"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row>
    <row r="846">
      <c r="A846" s="11" t="n"/>
      <c r="B846" s="11" t="n"/>
      <c r="C846" s="11"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row>
    <row r="847">
      <c r="A847" s="11" t="n"/>
      <c r="B847" s="11" t="n"/>
      <c r="C847" s="11"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row>
    <row r="848">
      <c r="A848" s="11" t="n"/>
      <c r="B848" s="11" t="n"/>
      <c r="C848" s="11"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row>
    <row r="849">
      <c r="A849" s="11" t="n"/>
      <c r="B849" s="11" t="n"/>
      <c r="C849" s="11"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row>
    <row r="850">
      <c r="A850" s="11" t="n"/>
      <c r="B850" s="11" t="n"/>
      <c r="C850" s="11"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row>
    <row r="851">
      <c r="A851" s="11" t="n"/>
      <c r="B851" s="11" t="n"/>
      <c r="C851" s="11"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row>
    <row r="852">
      <c r="A852" s="11" t="n"/>
      <c r="B852" s="11" t="n"/>
      <c r="C852" s="11"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row>
    <row r="853">
      <c r="A853" s="11" t="n"/>
      <c r="B853" s="11" t="n"/>
      <c r="C853" s="11"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row>
    <row r="854">
      <c r="A854" s="11" t="n"/>
      <c r="B854" s="11" t="n"/>
      <c r="C854" s="11"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row>
    <row r="855">
      <c r="A855" s="11" t="n"/>
      <c r="B855" s="11" t="n"/>
      <c r="C855" s="11"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row>
    <row r="856">
      <c r="A856" s="11" t="n"/>
      <c r="B856" s="11" t="n"/>
      <c r="C856" s="11"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row>
    <row r="857">
      <c r="A857" s="11" t="n"/>
      <c r="B857" s="11" t="n"/>
      <c r="C857" s="11"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row>
    <row r="858">
      <c r="A858" s="11" t="n"/>
      <c r="B858" s="11" t="n"/>
      <c r="C858" s="11"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row>
    <row r="859">
      <c r="A859" s="11" t="n"/>
      <c r="B859" s="11" t="n"/>
      <c r="C859" s="11"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row>
    <row r="860">
      <c r="A860" s="11" t="n"/>
      <c r="B860" s="11" t="n"/>
      <c r="C860" s="11"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row>
    <row r="861">
      <c r="A861" s="11" t="n"/>
      <c r="B861" s="11" t="n"/>
      <c r="C861" s="11"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row>
    <row r="862">
      <c r="A862" s="11" t="n"/>
      <c r="B862" s="11" t="n"/>
      <c r="C862" s="11"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row>
    <row r="863">
      <c r="A863" s="11" t="n"/>
      <c r="B863" s="11" t="n"/>
      <c r="C863" s="11"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row>
    <row r="864">
      <c r="A864" s="11" t="n"/>
      <c r="B864" s="11" t="n"/>
      <c r="C864" s="11"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row>
    <row r="865">
      <c r="A865" s="11" t="n"/>
      <c r="B865" s="11" t="n"/>
      <c r="C865" s="11"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row>
    <row r="866">
      <c r="A866" s="11" t="n"/>
      <c r="B866" s="11" t="n"/>
      <c r="C866" s="11"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row>
    <row r="867">
      <c r="A867" s="11" t="n"/>
      <c r="B867" s="11" t="n"/>
      <c r="C867" s="11"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row>
    <row r="868">
      <c r="A868" s="11" t="n"/>
      <c r="B868" s="11" t="n"/>
      <c r="C868" s="11"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row>
    <row r="869">
      <c r="A869" s="11" t="n"/>
      <c r="B869" s="11" t="n"/>
      <c r="C869" s="11"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row>
    <row r="870">
      <c r="A870" s="11" t="n"/>
      <c r="B870" s="11" t="n"/>
      <c r="C870" s="11"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row>
    <row r="871">
      <c r="A871" s="11" t="n"/>
      <c r="B871" s="11" t="n"/>
      <c r="C871" s="11"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row>
    <row r="872">
      <c r="A872" s="11" t="n"/>
      <c r="B872" s="11" t="n"/>
      <c r="C872" s="11"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row>
    <row r="873">
      <c r="A873" s="11" t="n"/>
      <c r="B873" s="11" t="n"/>
      <c r="C873" s="11"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row>
    <row r="874">
      <c r="A874" s="11" t="n"/>
      <c r="B874" s="11" t="n"/>
      <c r="C874" s="11"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row>
    <row r="875">
      <c r="A875" s="11" t="n"/>
      <c r="B875" s="11" t="n"/>
      <c r="C875" s="11"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row>
    <row r="876">
      <c r="A876" s="11" t="n"/>
      <c r="B876" s="11" t="n"/>
      <c r="C876" s="11"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row>
    <row r="877">
      <c r="A877" s="11" t="n"/>
      <c r="B877" s="11" t="n"/>
      <c r="C877" s="11"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row>
    <row r="878">
      <c r="A878" s="11" t="n"/>
      <c r="B878" s="11" t="n"/>
      <c r="C878" s="11"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row>
    <row r="879">
      <c r="A879" s="11" t="n"/>
      <c r="B879" s="11" t="n"/>
      <c r="C879" s="11"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row>
    <row r="880">
      <c r="A880" s="11" t="n"/>
      <c r="B880" s="11" t="n"/>
      <c r="C880" s="11"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row>
    <row r="881">
      <c r="A881" s="11" t="n"/>
      <c r="B881" s="11" t="n"/>
      <c r="C881" s="11"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row>
    <row r="882">
      <c r="A882" s="11" t="n"/>
      <c r="B882" s="11" t="n"/>
      <c r="C882" s="11"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row>
    <row r="883">
      <c r="A883" s="11" t="n"/>
      <c r="B883" s="11" t="n"/>
      <c r="C883" s="11"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row>
    <row r="884">
      <c r="A884" s="11" t="n"/>
      <c r="B884" s="11" t="n"/>
      <c r="C884" s="11"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row>
    <row r="885">
      <c r="A885" s="11" t="n"/>
      <c r="B885" s="11" t="n"/>
      <c r="C885" s="11"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row>
    <row r="886">
      <c r="A886" s="11" t="n"/>
      <c r="B886" s="11" t="n"/>
      <c r="C886" s="11"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row>
    <row r="887">
      <c r="A887" s="11" t="n"/>
      <c r="B887" s="11" t="n"/>
      <c r="C887" s="11"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row>
    <row r="888">
      <c r="A888" s="11" t="n"/>
      <c r="B888" s="11" t="n"/>
      <c r="C888" s="11"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row>
    <row r="889">
      <c r="A889" s="11" t="n"/>
      <c r="B889" s="11" t="n"/>
      <c r="C889" s="11"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row>
    <row r="890">
      <c r="A890" s="11" t="n"/>
      <c r="B890" s="11" t="n"/>
      <c r="C890" s="11"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row>
    <row r="891">
      <c r="A891" s="11" t="n"/>
      <c r="B891" s="11" t="n"/>
      <c r="C891" s="11"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row>
    <row r="892">
      <c r="A892" s="11" t="n"/>
      <c r="B892" s="11" t="n"/>
      <c r="C892" s="11"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row>
    <row r="893">
      <c r="A893" s="11" t="n"/>
      <c r="B893" s="11" t="n"/>
      <c r="C893" s="11"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row>
    <row r="894">
      <c r="A894" s="11" t="n"/>
      <c r="B894" s="11" t="n"/>
      <c r="C894" s="11"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row>
    <row r="895">
      <c r="A895" s="11" t="n"/>
      <c r="B895" s="11" t="n"/>
      <c r="C895" s="11"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row>
    <row r="896">
      <c r="A896" s="11" t="n"/>
      <c r="B896" s="11" t="n"/>
      <c r="C896" s="11"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row>
    <row r="897">
      <c r="A897" s="11" t="n"/>
      <c r="B897" s="11" t="n"/>
      <c r="C897" s="11"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row>
    <row r="898">
      <c r="A898" s="11" t="n"/>
      <c r="B898" s="11" t="n"/>
      <c r="C898" s="11"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row>
    <row r="899">
      <c r="A899" s="11" t="n"/>
      <c r="B899" s="11" t="n"/>
      <c r="C899" s="11"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row>
    <row r="900">
      <c r="A900" s="11" t="n"/>
      <c r="B900" s="11" t="n"/>
      <c r="C900" s="11"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row>
    <row r="901">
      <c r="A901" s="11" t="n"/>
      <c r="B901" s="11" t="n"/>
      <c r="C901" s="11"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row>
    <row r="902">
      <c r="A902" s="11" t="n"/>
      <c r="B902" s="11" t="n"/>
      <c r="C902" s="11"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row>
    <row r="903">
      <c r="A903" s="11" t="n"/>
      <c r="B903" s="11" t="n"/>
      <c r="C903" s="11"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row>
    <row r="904">
      <c r="A904" s="11" t="n"/>
      <c r="B904" s="11" t="n"/>
      <c r="C904" s="11"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row>
    <row r="905">
      <c r="A905" s="11" t="n"/>
      <c r="B905" s="11" t="n"/>
      <c r="C905" s="11"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row>
    <row r="906">
      <c r="A906" s="11" t="n"/>
      <c r="B906" s="11" t="n"/>
      <c r="C906" s="11"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row>
    <row r="907">
      <c r="A907" s="11" t="n"/>
      <c r="B907" s="11" t="n"/>
      <c r="C907" s="11"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row>
    <row r="908">
      <c r="A908" s="11" t="n"/>
      <c r="B908" s="11" t="n"/>
      <c r="C908" s="11"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row>
    <row r="909">
      <c r="A909" s="11" t="n"/>
      <c r="B909" s="11" t="n"/>
      <c r="C909" s="11"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row>
    <row r="910">
      <c r="A910" s="11" t="n"/>
      <c r="B910" s="11" t="n"/>
      <c r="C910" s="11"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row>
    <row r="911">
      <c r="A911" s="11" t="n"/>
      <c r="B911" s="11" t="n"/>
      <c r="C911" s="11"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row>
    <row r="912">
      <c r="A912" s="11" t="n"/>
      <c r="B912" s="11" t="n"/>
      <c r="C912" s="11"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row>
    <row r="913">
      <c r="A913" s="11" t="n"/>
      <c r="B913" s="11" t="n"/>
      <c r="C913" s="11"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row>
    <row r="914">
      <c r="A914" s="11" t="n"/>
      <c r="B914" s="11" t="n"/>
      <c r="C914" s="11"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row>
    <row r="915">
      <c r="A915" s="11" t="n"/>
      <c r="B915" s="11" t="n"/>
      <c r="C915" s="11"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row>
    <row r="916">
      <c r="A916" s="11" t="n"/>
      <c r="B916" s="11" t="n"/>
      <c r="C916" s="11"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row>
    <row r="917">
      <c r="A917" s="11" t="n"/>
      <c r="B917" s="11" t="n"/>
      <c r="C917" s="11"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row>
    <row r="918">
      <c r="A918" s="11" t="n"/>
      <c r="B918" s="11" t="n"/>
      <c r="C918" s="11"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row>
    <row r="919">
      <c r="A919" s="11" t="n"/>
      <c r="B919" s="11" t="n"/>
      <c r="C919" s="11"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row>
    <row r="920">
      <c r="A920" s="11" t="n"/>
      <c r="B920" s="11" t="n"/>
      <c r="C920" s="11"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row>
    <row r="921">
      <c r="A921" s="11" t="n"/>
      <c r="B921" s="11" t="n"/>
      <c r="C921" s="11"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row>
    <row r="922">
      <c r="A922" s="11" t="n"/>
      <c r="B922" s="11" t="n"/>
      <c r="C922" s="11"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row>
    <row r="923">
      <c r="A923" s="11" t="n"/>
      <c r="B923" s="11" t="n"/>
      <c r="C923" s="11"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row>
    <row r="924">
      <c r="A924" s="11" t="n"/>
      <c r="B924" s="11" t="n"/>
      <c r="C924" s="11"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row>
    <row r="925">
      <c r="A925" s="11" t="n"/>
      <c r="B925" s="11" t="n"/>
      <c r="C925" s="11"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row>
    <row r="926">
      <c r="A926" s="11" t="n"/>
      <c r="B926" s="11" t="n"/>
      <c r="C926" s="11"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row>
    <row r="927">
      <c r="A927" s="11" t="n"/>
      <c r="B927" s="11" t="n"/>
      <c r="C927" s="11"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row>
    <row r="928">
      <c r="A928" s="11" t="n"/>
      <c r="B928" s="11" t="n"/>
      <c r="C928" s="11"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row>
    <row r="929">
      <c r="A929" s="11" t="n"/>
      <c r="B929" s="11" t="n"/>
      <c r="C929" s="11"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row>
    <row r="930">
      <c r="A930" s="11" t="n"/>
      <c r="B930" s="11" t="n"/>
      <c r="C930" s="11"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row>
    <row r="931">
      <c r="A931" s="11" t="n"/>
      <c r="B931" s="11" t="n"/>
      <c r="C931" s="11"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row>
    <row r="932">
      <c r="A932" s="11" t="n"/>
      <c r="B932" s="11" t="n"/>
      <c r="C932" s="11"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row>
    <row r="933">
      <c r="A933" s="11" t="n"/>
      <c r="B933" s="11" t="n"/>
      <c r="C933" s="11"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row>
    <row r="934">
      <c r="A934" s="11" t="n"/>
      <c r="B934" s="11" t="n"/>
      <c r="C934" s="11"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row>
    <row r="935">
      <c r="A935" s="11" t="n"/>
      <c r="B935" s="11" t="n"/>
      <c r="C935" s="11"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row>
    <row r="936">
      <c r="A936" s="11" t="n"/>
      <c r="B936" s="11" t="n"/>
      <c r="C936" s="11"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row>
    <row r="937">
      <c r="A937" s="11" t="n"/>
      <c r="B937" s="11" t="n"/>
      <c r="C937" s="11"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row>
    <row r="938">
      <c r="A938" s="11" t="n"/>
      <c r="B938" s="11" t="n"/>
      <c r="C938" s="11"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row>
    <row r="939">
      <c r="A939" s="11" t="n"/>
      <c r="B939" s="11" t="n"/>
      <c r="C939" s="11"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row>
    <row r="940">
      <c r="A940" s="11" t="n"/>
      <c r="B940" s="11" t="n"/>
      <c r="C940" s="11"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row>
    <row r="941">
      <c r="A941" s="11" t="n"/>
      <c r="B941" s="11" t="n"/>
      <c r="C941" s="11"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row>
    <row r="942">
      <c r="A942" s="11" t="n"/>
      <c r="B942" s="11" t="n"/>
      <c r="C942" s="11"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row>
    <row r="943">
      <c r="A943" s="11" t="n"/>
      <c r="B943" s="11" t="n"/>
      <c r="C943" s="11"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row>
    <row r="944">
      <c r="A944" s="11" t="n"/>
      <c r="B944" s="11" t="n"/>
      <c r="C944" s="11"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row>
    <row r="945">
      <c r="A945" s="11" t="n"/>
      <c r="B945" s="11" t="n"/>
      <c r="C945" s="11"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row>
    <row r="946">
      <c r="A946" s="11" t="n"/>
      <c r="B946" s="11" t="n"/>
      <c r="C946" s="11"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row>
    <row r="947">
      <c r="A947" s="11" t="n"/>
      <c r="B947" s="11" t="n"/>
      <c r="C947" s="11"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row>
    <row r="948">
      <c r="A948" s="11" t="n"/>
      <c r="B948" s="11" t="n"/>
      <c r="C948" s="11"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row>
    <row r="949">
      <c r="A949" s="11" t="n"/>
      <c r="B949" s="11" t="n"/>
      <c r="C949" s="11"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row>
    <row r="950">
      <c r="A950" s="11" t="n"/>
      <c r="B950" s="11" t="n"/>
      <c r="C950" s="11"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row>
    <row r="951">
      <c r="A951" s="11" t="n"/>
      <c r="B951" s="11" t="n"/>
      <c r="C951" s="11"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row>
    <row r="952">
      <c r="A952" s="11" t="n"/>
      <c r="B952" s="11" t="n"/>
      <c r="C952" s="11"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row>
    <row r="953">
      <c r="A953" s="11" t="n"/>
      <c r="B953" s="11" t="n"/>
      <c r="C953" s="11"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row>
    <row r="954">
      <c r="A954" s="11" t="n"/>
      <c r="B954" s="11" t="n"/>
      <c r="C954" s="11"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row>
    <row r="955">
      <c r="A955" s="11" t="n"/>
      <c r="B955" s="11" t="n"/>
      <c r="C955" s="11"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row>
    <row r="956">
      <c r="A956" s="11" t="n"/>
      <c r="B956" s="11" t="n"/>
      <c r="C956" s="11"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row>
    <row r="957">
      <c r="A957" s="11" t="n"/>
      <c r="B957" s="11" t="n"/>
      <c r="C957" s="11"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row>
    <row r="958">
      <c r="A958" s="11" t="n"/>
      <c r="B958" s="11" t="n"/>
      <c r="C958" s="11"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row>
    <row r="959">
      <c r="A959" s="11" t="n"/>
      <c r="B959" s="11" t="n"/>
      <c r="C959" s="11"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row>
    <row r="960">
      <c r="A960" s="11" t="n"/>
      <c r="B960" s="11" t="n"/>
      <c r="C960" s="11"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row>
    <row r="961">
      <c r="A961" s="11" t="n"/>
      <c r="B961" s="11" t="n"/>
      <c r="C961" s="11"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row>
    <row r="962">
      <c r="A962" s="11" t="n"/>
      <c r="B962" s="11" t="n"/>
      <c r="C962" s="11"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row>
    <row r="963">
      <c r="A963" s="11" t="n"/>
      <c r="B963" s="11" t="n"/>
      <c r="C963" s="11"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row>
    <row r="964">
      <c r="A964" s="11" t="n"/>
      <c r="B964" s="11" t="n"/>
      <c r="C964" s="11"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row>
    <row r="965">
      <c r="A965" s="11" t="n"/>
      <c r="B965" s="11" t="n"/>
      <c r="C965" s="11"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row>
    <row r="966">
      <c r="A966" s="11" t="n"/>
      <c r="B966" s="11" t="n"/>
      <c r="C966" s="11"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row>
    <row r="967">
      <c r="A967" s="11" t="n"/>
      <c r="B967" s="11" t="n"/>
      <c r="C967" s="11"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row>
    <row r="968">
      <c r="A968" s="11" t="n"/>
      <c r="B968" s="11" t="n"/>
      <c r="C968" s="11"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row>
    <row r="969">
      <c r="A969" s="11" t="n"/>
      <c r="B969" s="11" t="n"/>
      <c r="C969" s="11"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row>
    <row r="970">
      <c r="A970" s="11" t="n"/>
      <c r="B970" s="11" t="n"/>
      <c r="C970" s="11"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row>
    <row r="971">
      <c r="A971" s="11" t="n"/>
      <c r="B971" s="11" t="n"/>
      <c r="C971" s="11"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row>
    <row r="972">
      <c r="A972" s="11" t="n"/>
      <c r="B972" s="11" t="n"/>
      <c r="C972" s="11"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row>
    <row r="973">
      <c r="A973" s="11" t="n"/>
      <c r="B973" s="11" t="n"/>
      <c r="C973" s="11" t="n"/>
      <c r="D973" s="11"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row>
    <row r="974">
      <c r="A974" s="11" t="n"/>
      <c r="B974" s="11" t="n"/>
      <c r="C974" s="11" t="n"/>
      <c r="D974" s="11"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row>
    <row r="975">
      <c r="A975" s="11" t="n"/>
      <c r="B975" s="11" t="n"/>
      <c r="C975" s="11" t="n"/>
      <c r="D975" s="11"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row>
    <row r="976">
      <c r="A976" s="11" t="n"/>
      <c r="B976" s="11" t="n"/>
      <c r="C976" s="11" t="n"/>
      <c r="D976" s="11"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row>
    <row r="977">
      <c r="A977" s="11" t="n"/>
      <c r="B977" s="11" t="n"/>
      <c r="C977" s="11" t="n"/>
      <c r="D977" s="11"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row>
    <row r="978">
      <c r="A978" s="11" t="n"/>
      <c r="B978" s="11" t="n"/>
      <c r="C978" s="11" t="n"/>
      <c r="D978" s="11"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row>
    <row r="979">
      <c r="A979" s="11" t="n"/>
      <c r="B979" s="11" t="n"/>
      <c r="C979" s="11" t="n"/>
      <c r="D979" s="11"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row>
    <row r="980">
      <c r="A980" s="11" t="n"/>
      <c r="B980" s="11" t="n"/>
      <c r="C980" s="11" t="n"/>
      <c r="D980" s="11"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row>
    <row r="981">
      <c r="A981" s="11" t="n"/>
      <c r="B981" s="11" t="n"/>
      <c r="C981" s="11" t="n"/>
      <c r="D981" s="11"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row>
    <row r="982">
      <c r="A982" s="11" t="n"/>
      <c r="B982" s="11" t="n"/>
      <c r="C982" s="11" t="n"/>
      <c r="D982" s="11"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row>
    <row r="983">
      <c r="A983" s="11" t="n"/>
      <c r="B983" s="11" t="n"/>
      <c r="C983" s="11" t="n"/>
      <c r="D983" s="11"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row>
    <row r="984">
      <c r="A984" s="11" t="n"/>
      <c r="B984" s="11" t="n"/>
      <c r="C984" s="11" t="n"/>
      <c r="D984" s="11"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row>
    <row r="985">
      <c r="A985" s="11" t="n"/>
      <c r="B985" s="11" t="n"/>
      <c r="C985" s="11" t="n"/>
      <c r="D985" s="11"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row>
    <row r="986">
      <c r="A986" s="11" t="n"/>
      <c r="B986" s="11" t="n"/>
      <c r="C986" s="11" t="n"/>
      <c r="D986" s="11"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row>
    <row r="987">
      <c r="A987" s="11" t="n"/>
      <c r="B987" s="11" t="n"/>
      <c r="C987" s="11" t="n"/>
      <c r="D987" s="11"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row>
    <row r="988">
      <c r="A988" s="11" t="n"/>
      <c r="B988" s="11" t="n"/>
      <c r="C988" s="11" t="n"/>
      <c r="D988" s="11"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row>
    <row r="989">
      <c r="A989" s="11" t="n"/>
      <c r="B989" s="11" t="n"/>
      <c r="C989" s="11" t="n"/>
      <c r="D989" s="11"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row>
    <row r="990">
      <c r="A990" s="11" t="n"/>
      <c r="B990" s="11" t="n"/>
      <c r="C990" s="11" t="n"/>
      <c r="D990" s="11"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row>
    <row r="991">
      <c r="A991" s="11" t="n"/>
      <c r="B991" s="11" t="n"/>
      <c r="C991" s="11" t="n"/>
      <c r="D991" s="11"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row>
    <row r="992">
      <c r="A992" s="11" t="n"/>
      <c r="B992" s="11" t="n"/>
      <c r="C992" s="11" t="n"/>
      <c r="D992" s="11"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row>
    <row r="993">
      <c r="A993" s="11" t="n"/>
      <c r="B993" s="11" t="n"/>
      <c r="C993" s="11" t="n"/>
      <c r="D993" s="11"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row>
    <row r="994">
      <c r="A994" s="11" t="n"/>
      <c r="B994" s="11" t="n"/>
      <c r="C994" s="11" t="n"/>
      <c r="D994" s="11"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row>
    <row r="995">
      <c r="A995" s="11" t="n"/>
      <c r="B995" s="11" t="n"/>
      <c r="C995" s="11" t="n"/>
      <c r="D995" s="11"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row>
    <row r="996">
      <c r="A996" s="11" t="n"/>
      <c r="B996" s="11" t="n"/>
      <c r="C996" s="11" t="n"/>
      <c r="D996" s="11"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row>
    <row r="997">
      <c r="A997" s="11" t="n"/>
      <c r="B997" s="11" t="n"/>
      <c r="C997" s="11" t="n"/>
      <c r="D997" s="11"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row>
    <row r="998">
      <c r="A998" s="11" t="n"/>
      <c r="B998" s="11" t="n"/>
      <c r="C998" s="11" t="n"/>
      <c r="D998" s="11" t="n"/>
      <c r="E998" s="11"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row>
    <row r="999">
      <c r="A999" s="11" t="n"/>
      <c r="B999" s="11" t="n"/>
      <c r="C999" s="11" t="n"/>
      <c r="D999" s="11" t="n"/>
      <c r="E999" s="11"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row>
    <row r="1000">
      <c r="A1000" s="11" t="n"/>
      <c r="B1000" s="11" t="n"/>
      <c r="C1000" s="11" t="n"/>
      <c r="D1000" s="11" t="n"/>
      <c r="E1000" s="11"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row>
  </sheetData>
  <mergeCells count="1">
    <mergeCell ref="A1:L1"/>
  </mergeCells>
  <dataValidations count="1">
    <dataValidation sqref="L3:L1000" showDropDown="0" showInputMessage="0" showErrorMessage="0" allowBlank="1" type="list">
      <formula1>"Open,In Progress,Fixed,Closed,Rejected"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9"/>
  <sheetViews>
    <sheetView workbookViewId="0">
      <pane ySplit="2" topLeftCell="A3" activePane="bottomLeft" state="frozen"/>
      <selection pane="bottomLeft" activeCell="B4" sqref="B4"/>
    </sheetView>
  </sheetViews>
  <sheetFormatPr baseColWidth="10" defaultColWidth="14.5" defaultRowHeight="15" customHeight="1"/>
  <cols>
    <col width="14" customWidth="1" style="17" min="1" max="1"/>
    <col hidden="1" width="8" customWidth="1" style="17" min="2" max="3"/>
    <col width="22" customWidth="1" style="17" min="3" max="3"/>
    <col width="38" customWidth="1" style="17" min="4" max="4"/>
    <col hidden="1" width="12" customWidth="1" style="17" min="5" max="6"/>
    <col width="12" customWidth="1" style="17" min="6" max="6"/>
    <col width="9" customWidth="1" style="17" min="7" max="7"/>
    <col width="32" customWidth="1" style="17" min="8" max="10"/>
    <col width="42" customWidth="1" style="17" min="9" max="9"/>
    <col width="52" customWidth="1" style="17" min="10" max="10"/>
    <col width="22" customWidth="1" style="17" min="11" max="12"/>
    <col width="14" customWidth="1" style="17" min="12" max="12"/>
    <col width="14" customWidth="1" style="17" min="13" max="13"/>
    <col width="22" customWidth="1" style="17" min="14" max="14"/>
    <col width="12" customWidth="1" style="17" min="15" max="21"/>
    <col width="12" customWidth="1" style="17" min="16" max="16"/>
    <col width="12" customWidth="1" style="17" min="17" max="17"/>
    <col width="12" customWidth="1" style="17" min="18" max="18"/>
    <col width="12" customWidth="1" style="17" min="19" max="19"/>
    <col width="12" customWidth="1" style="17" min="20" max="20"/>
    <col width="12" customWidth="1" style="17" min="21" max="21"/>
    <col width="8.6640625" customWidth="1" style="17" min="22" max="26"/>
  </cols>
  <sheetData>
    <row r="1" ht="17" customHeight="1" s="17">
      <c r="A1" s="21" t="inlineStr">
        <is>
          <t>TEST CASES — II.5.1.1.2. Thêm mới Nghiệp vụ (SPDV cấp 1)</t>
        </is>
      </c>
    </row>
    <row r="2" ht="16" customHeight="1" s="17">
      <c r="A2" s="1" t="inlineStr">
        <is>
          <t>TC_ID</t>
        </is>
      </c>
      <c r="B2" s="1" t="inlineStr">
        <is>
          <t>Module</t>
        </is>
      </c>
      <c r="C2" s="1" t="inlineStr">
        <is>
          <t>Feature</t>
        </is>
      </c>
      <c r="D2" s="1" t="inlineStr">
        <is>
          <t>Title</t>
        </is>
      </c>
      <c r="E2" s="1" t="inlineStr">
        <is>
          <t>Type</t>
        </is>
      </c>
      <c r="F2" s="1" t="inlineStr">
        <is>
          <t>Category</t>
        </is>
      </c>
      <c r="G2" s="1" t="inlineStr">
        <is>
          <t>Priority</t>
        </is>
      </c>
      <c r="H2" s="1" t="inlineStr">
        <is>
          <t>Precondition</t>
        </is>
      </c>
      <c r="I2" s="1" t="inlineStr">
        <is>
          <t>Steps</t>
        </is>
      </c>
      <c r="J2" s="1" t="inlineStr">
        <is>
          <t>Expected</t>
        </is>
      </c>
      <c r="K2" s="1" t="inlineStr">
        <is>
          <t>URD_Ref</t>
        </is>
      </c>
      <c r="L2" s="1" t="inlineStr">
        <is>
          <t>BR_Ref</t>
        </is>
      </c>
      <c r="M2" s="1" t="inlineStr">
        <is>
          <t>Trace_ID</t>
        </is>
      </c>
      <c r="N2" s="1" t="inlineStr">
        <is>
          <t>Note</t>
        </is>
      </c>
      <c r="O2" s="1" t="inlineStr">
        <is>
          <t>Status R1</t>
        </is>
      </c>
      <c r="P2" s="1" t="inlineStr">
        <is>
          <t>Tester R1</t>
        </is>
      </c>
      <c r="Q2" s="1" t="inlineStr">
        <is>
          <t>Date R1</t>
        </is>
      </c>
      <c r="R2" s="1" t="inlineStr">
        <is>
          <t>Status R2</t>
        </is>
      </c>
      <c r="S2" s="1" t="inlineStr">
        <is>
          <t>Tester R2</t>
        </is>
      </c>
      <c r="T2" s="1" t="inlineStr">
        <is>
          <t>Date R2</t>
        </is>
      </c>
      <c r="U2" s="1" t="inlineStr">
        <is>
          <t>Final Status</t>
        </is>
      </c>
    </row>
    <row r="3" ht="64" customHeight="1" s="17">
      <c r="A3" s="23" t="inlineStr">
        <is>
          <t>PR01-BR01-NEG-001</t>
        </is>
      </c>
      <c r="B3" s="23" t="inlineStr">
        <is>
          <t>PR01</t>
        </is>
      </c>
      <c r="C3" s="23" t="inlineStr">
        <is>
          <t>Nghiệp vụ (SPDV cấp 1) - Thêm mới</t>
        </is>
      </c>
      <c r="D3" s="23" t="inlineStr">
        <is>
          <t>Thiếu trường bắt buộc khi thêm Nghiệp vụ → chặn lưu</t>
        </is>
      </c>
      <c r="E3" s="23" t="inlineStr">
        <is>
          <t>Negative</t>
        </is>
      </c>
      <c r="F3" s="23" t="inlineStr">
        <is>
          <t>Smoke</t>
        </is>
      </c>
      <c r="G3" s="23" t="inlineStr">
        <is>
          <t>P1</t>
        </is>
      </c>
      <c r="H3" s="23" t="inlineStr">
        <is>
          <t>1. Maker đăng nhập (ngày T) tồn tại kết nối hệ thống.</t>
        </is>
      </c>
      <c r="I3" s="23" t="inlineStr">
        <is>
          <t>1) Mở PR01 → nhấn “Thêm mới Nghiệp vụ”;
2) Bỏ trống 1+ trường bắt buộc (*);
3) Nhấn “Xác nhận”;
4) Quan sát thông báo</t>
        </is>
      </c>
      <c r="J3" s="23" t="inlineStr">
        <is>
          <t>(i) Logic: Thiếu mandatory → từ chối lưu.
(ii) UI: Highlight trường lỗi/toast lỗi; nút vẫn ở form.
(iii) OT.01: không áp dụng.
(iv) Data: Không phát sinh bản ghi/audit.</t>
        </is>
      </c>
      <c r="K3" s="23" t="inlineStr">
        <is>
          <t>II.5.1.1.2/BR_01</t>
        </is>
      </c>
      <c r="L3" s="23" t="inlineStr">
        <is>
          <t>BR_01</t>
        </is>
      </c>
      <c r="M3" s="23" t="inlineStr">
        <is>
          <t>BR01-NGHV-REQ</t>
        </is>
      </c>
      <c r="N3" s="23" t="n"/>
      <c r="O3" s="23" t="n"/>
      <c r="P3" s="23" t="n"/>
      <c r="Q3" s="23" t="n"/>
      <c r="R3" s="23" t="n"/>
      <c r="S3" s="23" t="n"/>
      <c r="T3" s="23" t="n"/>
      <c r="U3" s="23">
        <f>IF(R3&lt;&gt;"", R3, O3)</f>
        <v/>
      </c>
    </row>
    <row r="4" ht="64" customHeight="1" s="17">
      <c r="A4" s="23" t="inlineStr">
        <is>
          <t>PR01-BR02-NEG-002</t>
        </is>
      </c>
      <c r="B4" s="23" t="inlineStr">
        <is>
          <t>PR01</t>
        </is>
      </c>
      <c r="C4" s="23" t="inlineStr">
        <is>
          <t>Nghiệp vụ (SPDV cấp 1) - Thêm mới</t>
        </is>
      </c>
      <c r="D4" s="23" t="inlineStr">
        <is>
          <t>Đóng/Hủy form Thêm mới Nghiệp vụ → không lưu dữ liệu</t>
        </is>
      </c>
      <c r="E4" s="23" t="inlineStr">
        <is>
          <t>Negative</t>
        </is>
      </c>
      <c r="F4" s="23" t="inlineStr">
        <is>
          <t>Regression</t>
        </is>
      </c>
      <c r="G4" s="23" t="inlineStr">
        <is>
          <t>P2</t>
        </is>
      </c>
      <c r="H4" s="23" t="inlineStr">
        <is>
          <t>1. Form Thêm mới Nghiệp vụ đang mở đã nhập vài trường.</t>
        </is>
      </c>
      <c r="I4" s="23" t="inlineStr">
        <is>
          <t>1) Nhập vài trường;
2) Nhấn “Đóng/Hủy”;
3) Xác nhận (nếu có);
4) Về lưới tìm theo dữ liệu vừa nhập</t>
        </is>
      </c>
      <c r="J4" s="23" t="inlineStr">
        <is>
          <t>(i) Logic: Đóng/Hủy → không lưu.
(ii) UI: Form đóng, không có toast thành công.
(iii) OT.01: không áp dụng.
(iv) Data: Không có bản ghi/audit.</t>
        </is>
      </c>
      <c r="K4" s="23" t="inlineStr">
        <is>
          <t>II.5.1.1.2/BR_02</t>
        </is>
      </c>
      <c r="L4" s="23" t="inlineStr">
        <is>
          <t>BR_02</t>
        </is>
      </c>
      <c r="M4" s="23" t="inlineStr">
        <is>
          <t>BR02-NGHV-CLOSE</t>
        </is>
      </c>
      <c r="N4" s="23" t="n"/>
      <c r="O4" s="23" t="n"/>
      <c r="P4" s="23" t="n"/>
      <c r="Q4" s="23" t="n"/>
      <c r="R4" s="23" t="n"/>
      <c r="S4" s="23" t="n"/>
      <c r="T4" s="23" t="n"/>
      <c r="U4" s="23">
        <f>IF(R4&lt;&gt;"", R4, O4)</f>
        <v/>
      </c>
    </row>
    <row r="5" ht="64" customHeight="1" s="17">
      <c r="A5" s="23" t="inlineStr">
        <is>
          <t>PR01-BR03-HAPPY-003</t>
        </is>
      </c>
      <c r="B5" s="23" t="inlineStr">
        <is>
          <t>PR01</t>
        </is>
      </c>
      <c r="C5" s="23" t="inlineStr">
        <is>
          <t>Nghiệp vụ (SPDV cấp 1) - Auto code</t>
        </is>
      </c>
      <c r="D5" s="23" t="inlineStr">
        <is>
          <t>Mã Nghiệp vụ tự sinh 2 ký tự tăng dần &amp; duy nhất (01→02)</t>
        </is>
      </c>
      <c r="E5" s="23" t="inlineStr">
        <is>
          <t>Happy</t>
        </is>
      </c>
      <c r="F5" s="23" t="inlineStr">
        <is>
          <t>Smoke</t>
        </is>
      </c>
      <c r="G5" s="23" t="inlineStr">
        <is>
          <t>P1</t>
        </is>
      </c>
      <c r="H5" s="23" t="inlineStr">
        <is>
          <t>1. Maker đăng nhập hệ thống rỗng hoặc đang có mã 01.</t>
        </is>
      </c>
      <c r="I5" s="23" t="inlineStr">
        <is>
          <t>1) Tạo Nghiệp vụ A hợp lệ → “Xác nhận”;
2) Tạo Nghiệp vụ B hợp lệ → “Xác nhận”;
3) Mở chi tiết A,B xem trường Mã</t>
        </is>
      </c>
      <c r="J5" s="23" t="inlineStr">
        <is>
          <t>(i) Logic: Mã auto 2 chữ số tăng dần, không trùng.
(ii) UI: Field Mã hiển thị đúng và read-only.
(iii) OT.01: Cả 2 bản ghi ở “Chờ duyệt”.
(iv) Data: Audit CREATE ghi nhận mã.</t>
        </is>
      </c>
      <c r="K5" s="23" t="inlineStr">
        <is>
          <t>II.5.1.1.2/BR_03; II.5.1.1.2/BR_04</t>
        </is>
      </c>
      <c r="L5" s="23" t="inlineStr">
        <is>
          <t>BR_03;BR_04</t>
        </is>
      </c>
      <c r="M5" s="23" t="inlineStr">
        <is>
          <t>BR03-NGHV-AUTO</t>
        </is>
      </c>
      <c r="N5" s="23" t="n"/>
      <c r="O5" s="23" t="n"/>
      <c r="P5" s="23" t="n"/>
      <c r="Q5" s="23" t="n"/>
      <c r="R5" s="23" t="n"/>
      <c r="S5" s="23" t="n"/>
      <c r="T5" s="23" t="n"/>
      <c r="U5" s="23">
        <f>IF(R5&lt;&gt;"", R5, O5)</f>
        <v/>
      </c>
    </row>
    <row r="6" ht="64" customHeight="1" s="17">
      <c r="A6" s="23" t="inlineStr">
        <is>
          <t>PR01-BR03-BOUND-004</t>
        </is>
      </c>
      <c r="B6" s="23" t="inlineStr">
        <is>
          <t>PR01</t>
        </is>
      </c>
      <c r="C6" s="23" t="inlineStr">
        <is>
          <t>Nghiệp vụ (SPDV cấp 1) - Auto code</t>
        </is>
      </c>
      <c r="D6" s="23" t="inlineStr">
        <is>
          <t>Vượt ngưỡng mã tự tăng
(tạo bản ghi thứ
100) → chặn</t>
        </is>
      </c>
      <c r="E6" s="23" t="inlineStr">
        <is>
          <t>Boundary</t>
        </is>
      </c>
      <c r="F6" s="23" t="inlineStr">
        <is>
          <t>Regression</t>
        </is>
      </c>
      <c r="G6" s="23" t="inlineStr">
        <is>
          <t>P2</t>
        </is>
      </c>
      <c r="H6" s="23" t="inlineStr">
        <is>
          <t>1. Đã tồn tại 99 Nghiệp vụ (01 trong môi trường test Maker đăng nhập.</t>
        </is>
      </c>
      <c r="I6" s="23" t="inlineStr">
        <is>
          <t>1) “Thêm mới Nghiệp vụ” hợp lệ;
2) “Xác nhận”</t>
        </is>
      </c>
      <c r="J6" s="23" t="inlineStr">
        <is>
          <t>(i) Logic: Không sinh mã &gt;99 → chặn.
(ii) UI: Thông báo/tooltip nêu lý do.
(iii) OT.01: không áp dụng.
(iv) Data: Không tạo bản ghi.</t>
        </is>
      </c>
      <c r="K6" s="23" t="inlineStr">
        <is>
          <t>II.5.1.1.2/BR_03</t>
        </is>
      </c>
      <c r="L6" s="23" t="inlineStr">
        <is>
          <t>BR_03</t>
        </is>
      </c>
      <c r="M6" s="23" t="inlineStr">
        <is>
          <t>BR03-NGHV-LIMIT</t>
        </is>
      </c>
      <c r="N6" s="23" t="n"/>
      <c r="O6" s="23" t="n"/>
      <c r="P6" s="23" t="n"/>
      <c r="Q6" s="23" t="n"/>
      <c r="R6" s="23" t="n"/>
      <c r="S6" s="23" t="n"/>
      <c r="T6" s="23" t="n"/>
      <c r="U6" s="23">
        <f>IF(R6&lt;&gt;"", R6, O6)</f>
        <v/>
      </c>
    </row>
    <row r="7" ht="64" customHeight="1" s="17">
      <c r="A7" s="23" t="inlineStr">
        <is>
          <t>PR01-BR04-HAPPY-005</t>
        </is>
      </c>
      <c r="B7" s="23" t="inlineStr">
        <is>
          <t>PR01</t>
        </is>
      </c>
      <c r="C7" s="23" t="inlineStr">
        <is>
          <t>Nghiệp vụ (SPDV cấp 1) - Field control</t>
        </is>
      </c>
      <c r="D7" s="23" t="inlineStr">
        <is>
          <t>Không cho phép chỉnh sửa trường Mã Nghiệp vụ</t>
        </is>
      </c>
      <c r="E7" s="23" t="inlineStr">
        <is>
          <t>Happy</t>
        </is>
      </c>
      <c r="F7" s="23" t="inlineStr">
        <is>
          <t>Regression</t>
        </is>
      </c>
      <c r="G7" s="23" t="inlineStr">
        <is>
          <t>P3</t>
        </is>
      </c>
      <c r="H7" s="23" t="inlineStr">
        <is>
          <t>1. Có bản ghi Nghiệp vụ 'Chờ duyệt' hoặc 'Đã duyệt'.</t>
        </is>
      </c>
      <c r="I7" s="23" t="inlineStr">
        <is>
          <t>1) Mở chi tiết bản ghi;
2) Nhấn “Sửa”;
3) Thử sửa trường Mã</t>
        </is>
      </c>
      <c r="J7" s="23" t="inlineStr">
        <is>
          <t>(i) Logic: Trường Mã không sửa được.
(ii) UI: Ô Mã disabled/read-only.
(iii) OT.01: Không sinh tác vụ nếu chỉ cố sửa Mã.
(iv) Data: Mã giữ nguyên.</t>
        </is>
      </c>
      <c r="K7" s="23" t="inlineStr">
        <is>
          <t>II.5.1.1.2/BR_04</t>
        </is>
      </c>
      <c r="L7" s="23" t="inlineStr">
        <is>
          <t>BR_04</t>
        </is>
      </c>
      <c r="M7" s="23" t="inlineStr">
        <is>
          <t>BR04-NGHV-CODE-RO</t>
        </is>
      </c>
      <c r="N7" s="23" t="n"/>
      <c r="O7" s="23" t="n"/>
      <c r="P7" s="23" t="n"/>
      <c r="Q7" s="23" t="n"/>
      <c r="R7" s="23" t="n"/>
      <c r="S7" s="23" t="n"/>
      <c r="T7" s="23" t="n"/>
      <c r="U7" s="23">
        <f>IF(R7&lt;&gt;"", R7, O7)</f>
        <v/>
      </c>
    </row>
    <row r="8" ht="64" customHeight="1" s="17">
      <c r="A8" s="23" t="inlineStr">
        <is>
          <t>PR01-BR05-HAPPY-006</t>
        </is>
      </c>
      <c r="B8" s="23" t="inlineStr">
        <is>
          <t>PR01</t>
        </is>
      </c>
      <c r="C8" s="23" t="inlineStr">
        <is>
          <t>Nghiệp vụ (SPDV cấp 1) - Hiển thị</t>
        </is>
      </c>
      <c r="D8" s="23" t="inlineStr">
        <is>
          <t>Chưa duyệt không hiển thị trên lưới Danh mục SPDV</t>
        </is>
      </c>
      <c r="E8" s="23" t="inlineStr">
        <is>
          <t>Happy</t>
        </is>
      </c>
      <c r="F8" s="23" t="inlineStr">
        <is>
          <t>Smoke</t>
        </is>
      </c>
      <c r="G8" s="23" t="inlineStr">
        <is>
          <t>P1</t>
        </is>
      </c>
      <c r="H8" s="23" t="inlineStr">
        <is>
          <t>1. Vừa tạo 1 Nghiệp vụ (Chờ duyệt).</t>
        </is>
      </c>
      <c r="I8" s="23" t="inlineStr">
        <is>
          <t>1) Về lưới PR01;
2) Lọc theo Tên/Mã vừa tạo</t>
        </is>
      </c>
      <c r="J8" s="23" t="inlineStr">
        <is>
          <t>(i) Logic: Bản ghi chưa duyệt → không hiển thị.
(ii) UI: Không có kết quả.
(iii) OT.01: Có tác vụ ở “Tác vụ chờ duyệt”.
(iv) Data: Trạng thái=Chờ duyệt lưu DB.</t>
        </is>
      </c>
      <c r="K8" s="23" t="inlineStr">
        <is>
          <t>II.5.1.1.2/BR_05; II.5.1.1.2/BR_06</t>
        </is>
      </c>
      <c r="L8" s="23" t="inlineStr">
        <is>
          <t>BR_05;BR_06</t>
        </is>
      </c>
      <c r="M8" s="23" t="inlineStr">
        <is>
          <t>BR05-NGHV-NOTSHOW</t>
        </is>
      </c>
      <c r="N8" s="23" t="n"/>
      <c r="O8" s="23" t="n"/>
      <c r="P8" s="23" t="n"/>
      <c r="Q8" s="23" t="n"/>
      <c r="R8" s="23" t="n"/>
      <c r="S8" s="23" t="n"/>
      <c r="T8" s="23" t="n"/>
      <c r="U8" s="23">
        <f>IF(R8&lt;&gt;"", R8, O8)</f>
        <v/>
      </c>
    </row>
    <row r="9" ht="64" customHeight="1" s="17">
      <c r="A9" s="23" t="inlineStr">
        <is>
          <t>PR01-BR06-HAPPY-007</t>
        </is>
      </c>
      <c r="B9" s="23" t="inlineStr">
        <is>
          <t>PR01</t>
        </is>
      </c>
      <c r="C9" s="23" t="inlineStr">
        <is>
          <t>Nghiệp vụ (SPDV cấp 1) - Tác vụ</t>
        </is>
      </c>
      <c r="D9" s="23" t="inlineStr">
        <is>
          <t>Khoản thêm mới sinh tác vụ “Chờ duyệt”</t>
        </is>
      </c>
      <c r="E9" s="23" t="inlineStr">
        <is>
          <t>Happy</t>
        </is>
      </c>
      <c r="F9" s="23" t="inlineStr">
        <is>
          <t>Smoke</t>
        </is>
      </c>
      <c r="G9" s="23" t="inlineStr">
        <is>
          <t>P1</t>
        </is>
      </c>
      <c r="H9" s="23" t="inlineStr">
        <is>
          <t>1. Vừa lưu Nghiệp vụ mới.</t>
        </is>
      </c>
      <c r="I9" s="23" t="inlineStr">
        <is>
          <t>1) Mở “Tác vụ chờ duyệt”;
2) Tìm theo Mã/Tên</t>
        </is>
      </c>
      <c r="J9" s="23" t="inlineStr">
        <is>
          <t>(i) Logic: Phải có tác vụ chờ duyệt.
(ii) UI: Dòng tác vụ xuất hiện.
(iii) OT.01: Log tạo tác vụ.
(iv) Data: Audit CREATE/TASK.</t>
        </is>
      </c>
      <c r="K9" s="23" t="inlineStr">
        <is>
          <t>II.5.1.1.2/BR_06</t>
        </is>
      </c>
      <c r="L9" s="23" t="inlineStr">
        <is>
          <t>BR_06</t>
        </is>
      </c>
      <c r="M9" s="23" t="inlineStr">
        <is>
          <t>BR06-NGHV-TASK</t>
        </is>
      </c>
      <c r="N9" s="23" t="n"/>
      <c r="O9" s="23" t="n"/>
      <c r="P9" s="23" t="n"/>
      <c r="Q9" s="23" t="n"/>
      <c r="R9" s="23" t="n"/>
      <c r="S9" s="23" t="n"/>
      <c r="T9" s="23" t="n"/>
      <c r="U9" s="23">
        <f>IF(R9&lt;&gt;"", R9, O9)</f>
        <v/>
      </c>
    </row>
    <row r="10" ht="64" customHeight="1" s="17">
      <c r="A10" s="23" t="inlineStr">
        <is>
          <t>PR01-BR07-HAPPY-008</t>
        </is>
      </c>
      <c r="B10" s="23" t="inlineStr">
        <is>
          <t>PR01</t>
        </is>
      </c>
      <c r="C10" s="23" t="inlineStr">
        <is>
          <t>Nghiệp vụ (SPDV cấp 1) - Cấp khai báo</t>
        </is>
      </c>
      <c r="D10" s="23" t="inlineStr">
        <is>
          <t>“Cấp khai báo” auto =1 và không cho sửa</t>
        </is>
      </c>
      <c r="E10" s="23" t="inlineStr">
        <is>
          <t>Happy</t>
        </is>
      </c>
      <c r="F10" s="23" t="inlineStr">
        <is>
          <t>Regression</t>
        </is>
      </c>
      <c r="G10" s="23" t="inlineStr">
        <is>
          <t>P3</t>
        </is>
      </c>
      <c r="H10" s="23" t="inlineStr">
        <is>
          <t>1. Form Thêm mới Nghiệp vụ đang mở.</t>
        </is>
      </c>
      <c r="I10" s="23" t="inlineStr">
        <is>
          <t>1) Quan sát trường “Cấp khai báo”;
2) Thử thay đổi;
3) Lưu bản ghi hợp lệ</t>
        </is>
      </c>
      <c r="J10" s="23" t="inlineStr">
        <is>
          <t>(i) Logic: Giá trị mặc định=1 &amp; không sửa được.
(ii) UI: Ô hiển thị 1 và disabled.
(iii) OT.01: Bản ghi Chờ duyệt.
(iv) Data: Lưu cấp=
1.</t>
        </is>
      </c>
      <c r="K10" s="23" t="inlineStr">
        <is>
          <t>II.5.1.1.2/BR_07</t>
        </is>
      </c>
      <c r="L10" s="23" t="inlineStr">
        <is>
          <t>BR_07</t>
        </is>
      </c>
      <c r="M10" s="23" t="inlineStr">
        <is>
          <t>BR07-NGHV-LEVEL1</t>
        </is>
      </c>
      <c r="N10" s="23" t="n"/>
      <c r="O10" s="23" t="n"/>
      <c r="P10" s="23" t="n"/>
      <c r="Q10" s="23" t="n"/>
      <c r="R10" s="23" t="n"/>
      <c r="S10" s="23" t="n"/>
      <c r="T10" s="23" t="n"/>
      <c r="U10" s="23">
        <f>IF(R10&lt;&gt;"", R10, O10)</f>
        <v/>
      </c>
    </row>
    <row r="11" ht="64" customHeight="1" s="17">
      <c r="A11" s="23" t="inlineStr">
        <is>
          <t>PR01-BR08-NEG-009</t>
        </is>
      </c>
      <c r="B11" s="23" t="inlineStr">
        <is>
          <t>PR01</t>
        </is>
      </c>
      <c r="C11" s="23" t="inlineStr">
        <is>
          <t>Nghiệp vụ (SPDV cấp 1) - Hiệu lực</t>
        </is>
      </c>
      <c r="D11" s="23" t="inlineStr">
        <is>
          <t>Ngày hiệu lực/ngày hết hiệu lực quá khứ → chặn</t>
        </is>
      </c>
      <c r="E11" s="23" t="inlineStr">
        <is>
          <t>Negative</t>
        </is>
      </c>
      <c r="F11" s="23" t="inlineStr">
        <is>
          <t>Smoke</t>
        </is>
      </c>
      <c r="G11" s="23" t="inlineStr">
        <is>
          <t>P1</t>
        </is>
      </c>
      <c r="H11" s="23" t="inlineStr">
        <is>
          <t>1. Form Thêm mới Nghiệp vụ.</t>
        </is>
      </c>
      <c r="I11" s="23" t="inlineStr">
        <is>
          <t>1) Chọn Ngày hiệu lực &lt; T → “Xác nhận”;
2) Chọn Ngày hết hiệu lực &lt; T → “Xác nhận”</t>
        </is>
      </c>
      <c r="J11" s="23" t="inlineStr">
        <is>
          <t>(i) Logic: Không cho ngày quá khứ.
(ii) UI: Báo lỗi tại trường ngày.
(iii) OT.01: không áp dụng.
(iv) Data: Không lưu.</t>
        </is>
      </c>
      <c r="K11" s="23" t="inlineStr">
        <is>
          <t>II.5.1.1.2/BR_08</t>
        </is>
      </c>
      <c r="L11" s="23" t="inlineStr">
        <is>
          <t>BR_08</t>
        </is>
      </c>
      <c r="M11" s="23" t="inlineStr">
        <is>
          <t>BR08-NGHV-DATEPAST</t>
        </is>
      </c>
      <c r="N11" s="23" t="n"/>
      <c r="O11" s="23" t="n"/>
      <c r="P11" s="23" t="n"/>
      <c r="Q11" s="23" t="n"/>
      <c r="R11" s="23" t="n"/>
      <c r="S11" s="23" t="n"/>
      <c r="T11" s="23" t="n"/>
      <c r="U11" s="23">
        <f>IF(R11&lt;&gt;"", R11, O11)</f>
        <v/>
      </c>
    </row>
    <row r="12" ht="64" customHeight="1" s="17">
      <c r="A12" s="23" t="inlineStr">
        <is>
          <t>PR01-BR09-HAPPY-010</t>
        </is>
      </c>
      <c r="B12" s="23" t="inlineStr">
        <is>
          <t>PR01</t>
        </is>
      </c>
      <c r="C12" s="23" t="inlineStr">
        <is>
          <t>Nghiệp vụ (SPDV cấp 1) - Trạng thái theo ngày</t>
        </is>
      </c>
      <c r="D12" s="23" t="inlineStr">
        <is>
          <t>Trạng thái hoạt động theo Ngày hiệu lực (T=Đang hoạt động; &gt;T=Không hoạt động)</t>
        </is>
      </c>
      <c r="E12" s="23" t="inlineStr">
        <is>
          <t>Happy</t>
        </is>
      </c>
      <c r="F12" s="23" t="inlineStr">
        <is>
          <t>Regression</t>
        </is>
      </c>
      <c r="G12" s="23" t="inlineStr">
        <is>
          <t>P2</t>
        </is>
      </c>
      <c r="H12" s="23" t="inlineStr">
        <is>
          <t>1. Tạo 2 bản ghi NV: A hiệu lực=T B hiệu lực&gt;T.</t>
        </is>
      </c>
      <c r="I12" s="23" t="inlineStr">
        <is>
          <t>1) Duyệt A và B;
2) Mở chi tiết kiểm tra;
3) Quan sát trạng thái hoạt động</t>
        </is>
      </c>
      <c r="J12" s="23" t="inlineStr">
        <is>
          <t>(i) Logic: A=Đang hoạt động; B=Không hoạt động (hoặc Chưa).
(ii) UI: Trạng thái hiển thị đúng.
(iii) OT.01: APPROVE 2 bản ghi.
(iv) Data: Audit APPROVE; trạng thái lưu đúng.</t>
        </is>
      </c>
      <c r="K12" s="23" t="inlineStr">
        <is>
          <t>II.5.1.1.2/BR_09</t>
        </is>
      </c>
      <c r="L12" s="23" t="inlineStr">
        <is>
          <t>BR_09</t>
        </is>
      </c>
      <c r="M12" s="23" t="inlineStr">
        <is>
          <t>BR09-NGHV-STATUS</t>
        </is>
      </c>
      <c r="N12" s="23" t="n"/>
      <c r="O12" s="23" t="n"/>
      <c r="P12" s="23" t="n"/>
      <c r="Q12" s="23" t="n"/>
      <c r="R12" s="23" t="n"/>
      <c r="S12" s="23" t="n"/>
      <c r="T12" s="23" t="n"/>
      <c r="U12" s="23">
        <f>IF(R12&lt;&gt;"", R12, O12)</f>
        <v/>
      </c>
    </row>
    <row r="13" ht="80" customHeight="1" s="17">
      <c r="A13" s="23" t="inlineStr">
        <is>
          <t>PR01-BR10-HAPPY-011</t>
        </is>
      </c>
      <c r="B13" s="23" t="inlineStr">
        <is>
          <t>PR01</t>
        </is>
      </c>
      <c r="C13" s="23" t="inlineStr">
        <is>
          <t>Nghiệp vụ (SPDV cấp 1) - Đổi trạng thái</t>
        </is>
      </c>
      <c r="D13" s="23" t="inlineStr">
        <is>
          <t>Đổi trạng thái qua cập nhật “Ngày hết hiệu lực”</t>
        </is>
      </c>
      <c r="E13" s="23" t="inlineStr">
        <is>
          <t>Happy</t>
        </is>
      </c>
      <c r="F13" s="23" t="inlineStr">
        <is>
          <t>Regression</t>
        </is>
      </c>
      <c r="G13" s="23" t="inlineStr">
        <is>
          <t>P2</t>
        </is>
      </c>
      <c r="H13" s="23" t="inlineStr">
        <is>
          <t>1. Có NV đang Đang hoạt động Maker có quyền sửa.</t>
        </is>
      </c>
      <c r="I13" s="23" t="inlineStr">
        <is>
          <t>1) Mở chi tiết → “Sửa”;
2) Cập nhật Ngày hết hiệu lực=T;
3) “Xác nhận” (sinh tác vụ);
4) Checker duyệt;
5) Kiểm tra trạng thái</t>
        </is>
      </c>
      <c r="J13" s="23" t="inlineStr">
        <is>
          <t>(i) Logic: Versioning C: cập nhật in-place; hết hiệu lực → Ngưng hoạt động; ngược lại cập nhật lại ngày để hoạt động.
(ii) UI: Trạng thái đổi sau duyệt.
(iii) OT.01: UPDATE + APPROVE.
(iv) Data: Không tạo version record mới.</t>
        </is>
      </c>
      <c r="K13" s="23" t="inlineStr">
        <is>
          <t>II.5.1.1.2/BR_10</t>
        </is>
      </c>
      <c r="L13" s="23" t="inlineStr">
        <is>
          <t>BR_10</t>
        </is>
      </c>
      <c r="M13" s="23" t="inlineStr">
        <is>
          <t>BR10-NGHV-STATE-CHANGE</t>
        </is>
      </c>
      <c r="N13" s="23" t="inlineStr">
        <is>
          <t>Tuân thủ bối cảnh dự án</t>
        </is>
      </c>
      <c r="O13" s="23" t="n"/>
      <c r="P13" s="23" t="n"/>
      <c r="Q13" s="23" t="n"/>
      <c r="R13" s="23" t="n"/>
      <c r="S13" s="23" t="n"/>
      <c r="T13" s="23" t="n"/>
      <c r="U13" s="23">
        <f>IF(R13&lt;&gt;"", R13, O13)</f>
        <v/>
      </c>
    </row>
    <row r="14" ht="64" customHeight="1" s="17">
      <c r="A14" s="23" t="inlineStr">
        <is>
          <t>PR01-BR11-HAPPY-012</t>
        </is>
      </c>
      <c r="B14" s="23" t="inlineStr">
        <is>
          <t>PR01</t>
        </is>
      </c>
      <c r="C14" s="23" t="inlineStr">
        <is>
          <t>Nghiệp vụ (SPDV cấp 1) - Metadata</t>
        </is>
      </c>
      <c r="D14" s="23" t="inlineStr">
        <is>
          <t>“Ngày tạo” tự sinh đúng định dạng</t>
        </is>
      </c>
      <c r="E14" s="23" t="inlineStr">
        <is>
          <t>Happy</t>
        </is>
      </c>
      <c r="F14" s="23" t="inlineStr">
        <is>
          <t>Regression</t>
        </is>
      </c>
      <c r="G14" s="23" t="inlineStr">
        <is>
          <t>P3</t>
        </is>
      </c>
      <c r="H14" s="23" t="inlineStr">
        <is>
          <t>1. Có NV vừa tạo.</t>
        </is>
      </c>
      <c r="I14" s="23" t="inlineStr">
        <is>
          <t>1) Mở chi tiết NV;
2) Quan sát 'Ngày tạo'</t>
        </is>
      </c>
      <c r="J14" s="23" t="inlineStr">
        <is>
          <t>(i) Logic: Do hệ thống sinh theo định dạng chuẩn.
(ii) UI: YYYY-MM-DD HH:MM:SS.
(iii) OT.01: không áp dụng.
(iv) Data: Audit time khớp.</t>
        </is>
      </c>
      <c r="K14" s="23" t="inlineStr">
        <is>
          <t>II.5.1.1.2/BR_11</t>
        </is>
      </c>
      <c r="L14" s="23" t="inlineStr">
        <is>
          <t>BR_11</t>
        </is>
      </c>
      <c r="M14" s="23" t="inlineStr">
        <is>
          <t>BR11-NGHV-CREATEDAT</t>
        </is>
      </c>
      <c r="N14" s="23" t="n"/>
      <c r="O14" s="23" t="n"/>
      <c r="P14" s="23" t="n"/>
      <c r="Q14" s="23" t="n"/>
      <c r="R14" s="23" t="n"/>
      <c r="S14" s="23" t="n"/>
      <c r="T14" s="23" t="n"/>
      <c r="U14" s="23">
        <f>IF(R14&lt;&gt;"", R14, O14)</f>
        <v/>
      </c>
    </row>
    <row r="15" ht="64" customHeight="1" s="17">
      <c r="A15" s="23" t="inlineStr">
        <is>
          <t>PR01-BR12-HAPPY-013</t>
        </is>
      </c>
      <c r="B15" s="23" t="inlineStr">
        <is>
          <t>PR01</t>
        </is>
      </c>
      <c r="C15" s="23" t="inlineStr">
        <is>
          <t>Nghiệp vụ (SPDV cấp 1) - Metadata</t>
        </is>
      </c>
      <c r="D15" s="23" t="inlineStr">
        <is>
          <t>“Người tạo” = username Maker</t>
        </is>
      </c>
      <c r="E15" s="23" t="inlineStr">
        <is>
          <t>Happy</t>
        </is>
      </c>
      <c r="F15" s="23" t="inlineStr">
        <is>
          <t>Regression</t>
        </is>
      </c>
      <c r="G15" s="23" t="inlineStr">
        <is>
          <t>P3</t>
        </is>
      </c>
      <c r="H15" s="23" t="inlineStr">
        <is>
          <t>1. Có NV do Maker tạo.</t>
        </is>
      </c>
      <c r="I15" s="23" t="inlineStr">
        <is>
          <t>1) Mở chi tiết NV;
2) Quan sát 'Người tạo'</t>
        </is>
      </c>
      <c r="J15" s="23" t="inlineStr">
        <is>
          <t>(i) Logic: Lưu đúng username.
(ii) UI: Hiển thị chính xác.
(iii) OT.01: không áp dụng.
(iv) Data: Audit CREATE ghi user.</t>
        </is>
      </c>
      <c r="K15" s="23" t="inlineStr">
        <is>
          <t>II.5.1.1.2/BR_12</t>
        </is>
      </c>
      <c r="L15" s="23" t="inlineStr">
        <is>
          <t>BR_12</t>
        </is>
      </c>
      <c r="M15" s="23" t="inlineStr">
        <is>
          <t>BR12-NGHV-CREATEDBY</t>
        </is>
      </c>
      <c r="N15" s="23" t="n"/>
      <c r="O15" s="23" t="n"/>
      <c r="P15" s="23" t="n"/>
      <c r="Q15" s="23" t="n"/>
      <c r="R15" s="23" t="n"/>
      <c r="S15" s="23" t="n"/>
      <c r="T15" s="23" t="n"/>
      <c r="U15" s="23">
        <f>IF(R15&lt;&gt;"", R15, O15)</f>
        <v/>
      </c>
    </row>
    <row r="16" ht="15.75" customHeight="1" s="17">
      <c r="A16" s="23" t="inlineStr">
        <is>
          <t>PR01-BR01D-NEG-014</t>
        </is>
      </c>
      <c r="B16" s="23" t="inlineStr">
        <is>
          <t>PR01</t>
        </is>
      </c>
      <c r="C16" s="23" t="inlineStr">
        <is>
          <t>SPDV chi tiết - Thêm mới</t>
        </is>
      </c>
      <c r="D16" s="23" t="inlineStr">
        <is>
          <t>Thiếu trường bắt buộc khi thêm SPDV chi tiết → chặn</t>
        </is>
      </c>
      <c r="E16" s="23" t="inlineStr">
        <is>
          <t>Negative</t>
        </is>
      </c>
      <c r="F16" s="23" t="inlineStr">
        <is>
          <t>Smoke</t>
        </is>
      </c>
      <c r="G16" s="23" t="inlineStr">
        <is>
          <t>P1</t>
        </is>
      </c>
      <c r="H16" s="23" t="inlineStr">
        <is>
          <t>1. Có NV cấp 1 đã duyệt Maker đăng nhập.</t>
        </is>
      </c>
      <c r="I16" s="23" t="inlineStr">
        <is>
          <t>1) Tại NV cha → nhấn “+”;
2) Bỏ trống 1+ trường bắt buộc;
3) “Xác nhận”</t>
        </is>
      </c>
      <c r="J16" s="23" t="inlineStr">
        <is>
          <t>(i) Logic: Thiếu mandatory → chặn.
(ii) UI: Highlight lỗi.
(iii) OT.01: không áp dụng.
(iv) Data: Không tạo.</t>
        </is>
      </c>
      <c r="K16" s="23" t="inlineStr">
        <is>
          <t>II.5.1.1.3/BR_01</t>
        </is>
      </c>
      <c r="L16" s="23" t="inlineStr">
        <is>
          <t>BR_01</t>
        </is>
      </c>
      <c r="M16" s="23" t="inlineStr">
        <is>
          <t>BR01D-SPDV-REQ</t>
        </is>
      </c>
      <c r="N16" s="23" t="n"/>
      <c r="O16" s="23" t="n"/>
      <c r="P16" s="23" t="n"/>
      <c r="Q16" s="23" t="n"/>
      <c r="R16" s="23" t="n"/>
      <c r="S16" s="23" t="n"/>
      <c r="T16" s="23" t="n"/>
      <c r="U16" s="23" t="n"/>
    </row>
    <row r="17" ht="15.75" customHeight="1" s="17">
      <c r="A17" s="23" t="inlineStr">
        <is>
          <t>PR01-BR02D-NEG-015</t>
        </is>
      </c>
      <c r="B17" s="23" t="inlineStr">
        <is>
          <t>PR01</t>
        </is>
      </c>
      <c r="C17" s="23" t="inlineStr">
        <is>
          <t>SPDV chi tiết - Thêm mới</t>
        </is>
      </c>
      <c r="D17" s="23" t="inlineStr">
        <is>
          <t>Đóng/Hủy form Thêm SPDV chi tiết → không lưu dữ liệu</t>
        </is>
      </c>
      <c r="E17" s="23" t="inlineStr">
        <is>
          <t>Negative</t>
        </is>
      </c>
      <c r="F17" s="23" t="inlineStr">
        <is>
          <t>Regression</t>
        </is>
      </c>
      <c r="G17" s="23" t="inlineStr">
        <is>
          <t>P2</t>
        </is>
      </c>
      <c r="H17" s="23" t="inlineStr">
        <is>
          <t>1. Form Thêm SPDV chi tiết đang mở.</t>
        </is>
      </c>
      <c r="I17" s="23" t="inlineStr">
        <is>
          <t>1) Nhập vài trường;
2) Nhấn 'Đóng/Hủy';
3) Trở về lưới kiểm tra</t>
        </is>
      </c>
      <c r="J17" s="23" t="inlineStr">
        <is>
          <t>(i) Logic: Hủy → không lưu.
(ii) UI: Form đóng; không có toast thành công.
(iii) OT.01: không áp dụng.
(iv) Data: Không phát sinh bản ghi.</t>
        </is>
      </c>
      <c r="K17" s="23" t="inlineStr">
        <is>
          <t>II.5.1.1.3/BR_02</t>
        </is>
      </c>
      <c r="L17" s="23" t="inlineStr">
        <is>
          <t>BR_02</t>
        </is>
      </c>
      <c r="M17" s="23" t="inlineStr">
        <is>
          <t>BR02D-SPDV-CLOSE</t>
        </is>
      </c>
      <c r="N17" s="23" t="n"/>
      <c r="O17" s="23" t="n"/>
      <c r="P17" s="23" t="n"/>
      <c r="Q17" s="23" t="n"/>
      <c r="R17" s="23" t="n"/>
      <c r="S17" s="23" t="n"/>
      <c r="T17" s="23" t="n"/>
      <c r="U17" s="23" t="n"/>
    </row>
    <row r="18" ht="15.75" customHeight="1" s="17">
      <c r="A18" s="23" t="inlineStr">
        <is>
          <t>PR01-BR03D-HAPPY-016</t>
        </is>
      </c>
      <c r="B18" s="23" t="inlineStr">
        <is>
          <t>PR01</t>
        </is>
      </c>
      <c r="C18" s="23" t="inlineStr">
        <is>
          <t>SPDV chi tiết - Hiển thị danh sách</t>
        </is>
      </c>
      <c r="D18" s="23" t="inlineStr">
        <is>
          <t>Chỉ hiển thị bản ghi đã được Checker phê duyệt</t>
        </is>
      </c>
      <c r="E18" s="23" t="inlineStr">
        <is>
          <t>Happy</t>
        </is>
      </c>
      <c r="F18" s="23" t="inlineStr">
        <is>
          <t>Smoke</t>
        </is>
      </c>
      <c r="G18" s="23" t="inlineStr">
        <is>
          <t>P1</t>
        </is>
      </c>
      <c r="H18" s="23" t="inlineStr">
        <is>
          <t>1. Có 1 SPDV chi tiết vừa tạo (Chờ duyệt).</t>
        </is>
      </c>
      <c r="I18" s="23" t="inlineStr">
        <is>
          <t>1) Về lưới Danh mục SPDV;
2) Lọc theo tên SPDV chi tiết vừa tạo;
3) Duyệt;
4) Refresh lưới</t>
        </is>
      </c>
      <c r="J18" s="23" t="inlineStr">
        <is>
          <t>(i) Logic: Chưa duyệt → không hiển thị; sau duyệt → hiển thị.
(ii) UI: Lưới phản ánh đúng.
(iii) OT.01: Có tác vụ/APPROVE.
(iv) Data: Ghi trạng thái theo thực tế.</t>
        </is>
      </c>
      <c r="K18" s="23" t="inlineStr">
        <is>
          <t>II.5.1.1.3/BR_03</t>
        </is>
      </c>
      <c r="L18" s="23" t="inlineStr">
        <is>
          <t>BR_03</t>
        </is>
      </c>
      <c r="M18" s="23" t="inlineStr">
        <is>
          <t>BR03D-SPDV-VISIBILITY</t>
        </is>
      </c>
      <c r="N18" s="23" t="n"/>
      <c r="O18" s="23" t="n"/>
      <c r="P18" s="23" t="n"/>
      <c r="Q18" s="23" t="n"/>
      <c r="R18" s="23" t="n"/>
      <c r="S18" s="23" t="n"/>
      <c r="T18" s="23" t="n"/>
      <c r="U18" s="23" t="n"/>
    </row>
    <row r="19" ht="15.75" customHeight="1" s="17">
      <c r="A19" s="23" t="inlineStr">
        <is>
          <t>PR01-BR04D-HAPPY-017</t>
        </is>
      </c>
      <c r="B19" s="23" t="inlineStr">
        <is>
          <t>PR01</t>
        </is>
      </c>
      <c r="C19" s="23" t="inlineStr">
        <is>
          <t>SPDV chi tiết - Auto code</t>
        </is>
      </c>
      <c r="D19" s="23" t="inlineStr">
        <is>
          <t>Mã SPDV chi tiết = Mã cha + 2 số tự tăng; duy nhất</t>
        </is>
      </c>
      <c r="E19" s="23" t="inlineStr">
        <is>
          <t>Happy</t>
        </is>
      </c>
      <c r="F19" s="23" t="inlineStr">
        <is>
          <t>Smoke</t>
        </is>
      </c>
      <c r="G19" s="23" t="inlineStr">
        <is>
          <t>P1</t>
        </is>
      </c>
      <c r="H19" s="23" t="inlineStr">
        <is>
          <t>1. NV cha mã 06 đã duyệt Maker đăng nhập.</t>
        </is>
      </c>
      <c r="I19" s="23" t="inlineStr">
        <is>
          <t>1) Tại 06 → nhấn “+”;
2) Nhập hợp lệ → “Xác nhận”;
3) Tạo thêm 1 bản chi tiết;
4) Kiểm tra trường Mã</t>
        </is>
      </c>
      <c r="J19" s="23" t="inlineStr">
        <is>
          <t>(i) Logic: Mã = 06xx tăng dần; không trùng.
(ii) UI: Field Mã read-only.
(iii) OT.01: Các bản ghi ở Chờ duyệt.
(iv) Data: Audit CREATE chứa mã auto.</t>
        </is>
      </c>
      <c r="K19" s="23" t="inlineStr">
        <is>
          <t>II.5.1.1.3/BR_04; II.5.1.1.3/BR_05</t>
        </is>
      </c>
      <c r="L19" s="23" t="inlineStr">
        <is>
          <t>BR_04;BR_05</t>
        </is>
      </c>
      <c r="M19" s="23" t="inlineStr">
        <is>
          <t>BR04D-SPDV-AUTO</t>
        </is>
      </c>
      <c r="N19" s="23" t="n"/>
      <c r="O19" s="23" t="n"/>
      <c r="P19" s="23" t="n"/>
      <c r="Q19" s="23" t="n"/>
      <c r="R19" s="23" t="n"/>
      <c r="S19" s="23" t="n"/>
      <c r="T19" s="23" t="n"/>
      <c r="U19" s="23" t="n"/>
    </row>
    <row r="20" ht="15.75" customHeight="1" s="17">
      <c r="A20" s="23" t="inlineStr">
        <is>
          <t>PR01-BR06D-HAPPY-018</t>
        </is>
      </c>
      <c r="B20" s="23" t="inlineStr">
        <is>
          <t>PR01</t>
        </is>
      </c>
      <c r="C20" s="23" t="inlineStr">
        <is>
          <t>SPDV chi tiết - Ngữ cảnh cha</t>
        </is>
      </c>
      <c r="D20" s="23" t="inlineStr">
        <is>
          <t>“Cấp SPDV liền trước” hiển thị “Mã - Tên” cấp cha khi bấm “+”</t>
        </is>
      </c>
      <c r="E20" s="23" t="inlineStr">
        <is>
          <t>Happy</t>
        </is>
      </c>
      <c r="F20" s="23" t="inlineStr">
        <is>
          <t>Regression</t>
        </is>
      </c>
      <c r="G20" s="23" t="inlineStr">
        <is>
          <t>P3</t>
        </is>
      </c>
      <c r="H20" s="23" t="inlineStr">
        <is>
          <t>1. Có NV cha đã duyệt Maker đăng nhập.</t>
        </is>
      </c>
      <c r="I20" s="23" t="inlineStr">
        <is>
          <t>1) Tại bản ghi cha → bấm “+”;
2) Quan sát trường “Cấp SPDV liền trước”</t>
        </is>
      </c>
      <c r="J20" s="23" t="inlineStr">
        <is>
          <t>(i) Logic: Hiển thị đúng Mã-Tên cha.
(ii) UI: Label/field hiển thị giá trị cha.
(iii) OT.01: không áp dụng.
(iv) Data: Không đổi.</t>
        </is>
      </c>
      <c r="K20" s="23" t="inlineStr">
        <is>
          <t>II.5.1.1.3/BR_06</t>
        </is>
      </c>
      <c r="L20" s="23" t="inlineStr">
        <is>
          <t>BR_06</t>
        </is>
      </c>
      <c r="M20" s="23" t="inlineStr">
        <is>
          <t>BR06D-SPDV-PARENTCTX</t>
        </is>
      </c>
      <c r="N20" s="23" t="n"/>
      <c r="O20" s="23" t="n"/>
      <c r="P20" s="23" t="n"/>
      <c r="Q20" s="23" t="n"/>
      <c r="R20" s="23" t="n"/>
      <c r="S20" s="23" t="n"/>
      <c r="T20" s="23" t="n"/>
      <c r="U20" s="23" t="n"/>
    </row>
    <row r="21" ht="15.75" customHeight="1" s="17">
      <c r="A21" s="23" t="inlineStr">
        <is>
          <t>PR01-BR07D-BOUND-019</t>
        </is>
      </c>
      <c r="B21" s="23" t="inlineStr">
        <is>
          <t>PR01</t>
        </is>
      </c>
      <c r="C21" s="23" t="inlineStr">
        <is>
          <t>SPDV chi tiết - Giới hạn cấp</t>
        </is>
      </c>
      <c r="D21" s="23" t="inlineStr">
        <is>
          <t>Sản phẩm không vượt số cấp tối đa PRODUCT_LEVEL</t>
        </is>
      </c>
      <c r="E21" s="23" t="inlineStr">
        <is>
          <t>Boundary</t>
        </is>
      </c>
      <c r="F21" s="23" t="inlineStr">
        <is>
          <t>Regression</t>
        </is>
      </c>
      <c r="G21" s="23" t="inlineStr">
        <is>
          <t>P2</t>
        </is>
      </c>
      <c r="H21" s="23" t="inlineStr">
        <is>
          <t>1. PRODUCT_LEVEL=n (ví dụ cây đang ở cấp n.</t>
        </is>
      </c>
      <c r="I21" s="23" t="inlineStr">
        <is>
          <t>1) Thử tạo thêm cấp con tại bản ghi cấp n;
2) Quan sát thông báo;
3) “Xác nhận”</t>
        </is>
      </c>
      <c r="J21" s="23" t="inlineStr">
        <is>
          <t>(i) Logic: Không cho vượt cấp tối đa.
(ii) UI: Disable/ cảnh báo phù hợp.
(iii) OT.01: không áp dụng.
(iv) Data: Không tạo.</t>
        </is>
      </c>
      <c r="K21" s="23" t="inlineStr">
        <is>
          <t>II.5.1.1.3/BR_07; II.5.1.1.3/BR_10</t>
        </is>
      </c>
      <c r="L21" s="23" t="inlineStr">
        <is>
          <t>BR_07;BR_10</t>
        </is>
      </c>
      <c r="M21" s="23" t="inlineStr">
        <is>
          <t>BR07D-SPDV-MAXLVL</t>
        </is>
      </c>
      <c r="N21" s="23" t="n"/>
      <c r="O21" s="23" t="n"/>
      <c r="P21" s="23" t="n"/>
      <c r="Q21" s="23" t="n"/>
      <c r="R21" s="23" t="n"/>
      <c r="S21" s="23" t="n"/>
      <c r="T21" s="23" t="n"/>
      <c r="U21" s="23" t="n"/>
    </row>
    <row r="22" ht="15.75" customHeight="1" s="17">
      <c r="A22" s="23" t="inlineStr">
        <is>
          <t>PR01-BR08D-NEG-020</t>
        </is>
      </c>
      <c r="B22" s="23" t="inlineStr">
        <is>
          <t>PR01</t>
        </is>
      </c>
      <c r="C22" s="23" t="inlineStr">
        <is>
          <t>SPDV chi tiết - Quan hệ cha</t>
        </is>
      </c>
      <c r="D22" s="23" t="inlineStr">
        <is>
          <t>Bắt buộc có đủ n−1 cấp cha trước khi khai báo cấp cuối</t>
        </is>
      </c>
      <c r="E22" s="23" t="inlineStr">
        <is>
          <t>Negative</t>
        </is>
      </c>
      <c r="F22" s="23" t="inlineStr">
        <is>
          <t>Smoke</t>
        </is>
      </c>
      <c r="G22" s="23" t="inlineStr">
        <is>
          <t>P1</t>
        </is>
      </c>
      <c r="H22" s="23" t="inlineStr">
        <is>
          <t>1. PRODUCT_LEVEL=n thiếu 1 cấp cha ở giữa.</t>
        </is>
      </c>
      <c r="I22" s="23" t="inlineStr">
        <is>
          <t>1) Cố tạo SPDV cấp n;
2) “Xác nhận”</t>
        </is>
      </c>
      <c r="J22" s="23" t="inlineStr">
        <is>
          <t>(i) Logic: Thiếu cấp cha → chặn.
(ii) UI: Thông báo nêu rõ cấp thiếu.
(iii) OT.01: không áp dụng.
(iv) Data: Không tạo.</t>
        </is>
      </c>
      <c r="K22" s="23" t="inlineStr">
        <is>
          <t>II.5.1.1.3/BR_08</t>
        </is>
      </c>
      <c r="L22" s="23" t="inlineStr">
        <is>
          <t>BR_08</t>
        </is>
      </c>
      <c r="M22" s="23" t="inlineStr">
        <is>
          <t>BR08D-SPDV-MISS-PARENT</t>
        </is>
      </c>
      <c r="N22" s="23" t="n"/>
      <c r="O22" s="23" t="n"/>
      <c r="P22" s="23" t="n"/>
      <c r="Q22" s="23" t="n"/>
      <c r="R22" s="23" t="n"/>
      <c r="S22" s="23" t="n"/>
      <c r="T22" s="23" t="n"/>
      <c r="U22" s="23" t="n"/>
    </row>
    <row r="23" ht="15.75" customHeight="1" s="17">
      <c r="A23" s="23" t="inlineStr">
        <is>
          <t>PR01-BR09D-HAPPY-021</t>
        </is>
      </c>
      <c r="B23" s="23" t="inlineStr">
        <is>
          <t>PR01</t>
        </is>
      </c>
      <c r="C23" s="23" t="inlineStr">
        <is>
          <t>SPDV chi tiết - Cảnh báo cấp cuối</t>
        </is>
      </c>
      <c r="D23" s="23" t="inlineStr">
        <is>
          <t>Hiển thị thông tin “Đây là cấp cuối cùng…” khi khai báo cấp n</t>
        </is>
      </c>
      <c r="E23" s="23" t="inlineStr">
        <is>
          <t>Happy</t>
        </is>
      </c>
      <c r="F23" s="23" t="inlineStr">
        <is>
          <t>Regression</t>
        </is>
      </c>
      <c r="G23" s="23" t="inlineStr">
        <is>
          <t>P3</t>
        </is>
      </c>
      <c r="H23" s="23" t="inlineStr">
        <is>
          <t>1. Đang tạo SPDV ở cấp n.</t>
        </is>
      </c>
      <c r="I23" s="23" t="inlineStr">
        <is>
          <t>1) Mở form tạo ở cấp n;
2) Quan sát thông tin/label cảnh báo cấp cuối</t>
        </is>
      </c>
      <c r="J23" s="23" t="inlineStr">
        <is>
          <t>(i) Logic: Hệ thống hiển thị thông tin cấp cuối.
(ii) UI: Text cảnh báo hiển thị đúng.
(iii) OT.01: không áp dụng.
(iv) Data: không đổi.</t>
        </is>
      </c>
      <c r="K23" s="23" t="inlineStr">
        <is>
          <t>II.5.1.1.3/BR_09</t>
        </is>
      </c>
      <c r="L23" s="23" t="inlineStr">
        <is>
          <t>BR_09</t>
        </is>
      </c>
      <c r="M23" s="23" t="inlineStr">
        <is>
          <t>BR09D-SPDV-LASTLEVEL</t>
        </is>
      </c>
      <c r="N23" s="23" t="n"/>
      <c r="O23" s="23" t="n"/>
      <c r="P23" s="23" t="n"/>
      <c r="Q23" s="23" t="n"/>
      <c r="R23" s="23" t="n"/>
      <c r="S23" s="23" t="n"/>
      <c r="T23" s="23" t="n"/>
      <c r="U23" s="23" t="n"/>
    </row>
    <row r="24" ht="15.75" customHeight="1" s="17">
      <c r="A24" s="23" t="inlineStr">
        <is>
          <t>PR01-BR11D-NEG-022</t>
        </is>
      </c>
      <c r="B24" s="23" t="inlineStr">
        <is>
          <t>PR01</t>
        </is>
      </c>
      <c r="C24" s="23" t="inlineStr">
        <is>
          <t>SPDV chi tiết - Hiệu lực</t>
        </is>
      </c>
      <c r="D24" s="23" t="inlineStr">
        <is>
          <t>Ngày hiệu lực/hết hiệu lực quá khứ → chặn</t>
        </is>
      </c>
      <c r="E24" s="23" t="inlineStr">
        <is>
          <t>Negative</t>
        </is>
      </c>
      <c r="F24" s="23" t="inlineStr">
        <is>
          <t>Smoke</t>
        </is>
      </c>
      <c r="G24" s="23" t="inlineStr">
        <is>
          <t>P1</t>
        </is>
      </c>
      <c r="H24" s="23" t="inlineStr">
        <is>
          <t>1. Form Thêm SPDV chi tiết.</t>
        </is>
      </c>
      <c r="I24" s="23" t="inlineStr">
        <is>
          <t>1) Chọn ngày hiệu lực &lt; T → “Xác nhận”;
2) Chọn ngày hết hiệu lực &lt; T → “Xác nhận”</t>
        </is>
      </c>
      <c r="J24" s="23" t="inlineStr">
        <is>
          <t>(i) Logic: Không cho ngày quá khứ.
(ii) UI: Báo lỗi tại trường ngày.
(iii) OT.01: không áp dụng.
(iv) Data: Không lưu.</t>
        </is>
      </c>
      <c r="K24" s="23" t="inlineStr">
        <is>
          <t>II.5.1.1.3/BR_11</t>
        </is>
      </c>
      <c r="L24" s="23" t="inlineStr">
        <is>
          <t>BR_11</t>
        </is>
      </c>
      <c r="M24" s="23" t="inlineStr">
        <is>
          <t>BR11D-SPDV-DATEPAST</t>
        </is>
      </c>
      <c r="N24" s="23" t="n"/>
      <c r="O24" s="23" t="n"/>
      <c r="P24" s="23" t="n"/>
      <c r="Q24" s="23" t="n"/>
      <c r="R24" s="23" t="n"/>
      <c r="S24" s="23" t="n"/>
      <c r="T24" s="23" t="n"/>
      <c r="U24" s="23" t="n"/>
    </row>
    <row r="25" ht="15.75" customHeight="1" s="17">
      <c r="A25" s="23" t="inlineStr">
        <is>
          <t>PR01-BR12D-HAPPY-023</t>
        </is>
      </c>
      <c r="B25" s="23" t="inlineStr">
        <is>
          <t>PR01</t>
        </is>
      </c>
      <c r="C25" s="23" t="inlineStr">
        <is>
          <t>SPDV chi tiết - Trạng thái theo ngày</t>
        </is>
      </c>
      <c r="D25" s="23" t="inlineStr">
        <is>
          <t>Trạng thái hoạt động theo Ngày hiệu lực (T=Đang; &gt;T=Chưa)</t>
        </is>
      </c>
      <c r="E25" s="23" t="inlineStr">
        <is>
          <t>Happy</t>
        </is>
      </c>
      <c r="F25" s="23" t="inlineStr">
        <is>
          <t>Regression</t>
        </is>
      </c>
      <c r="G25" s="23" t="inlineStr">
        <is>
          <t>P2</t>
        </is>
      </c>
      <c r="H25" s="23" t="inlineStr">
        <is>
          <t>1. Tạo 2 SPDV chi tiết: A hiệu lực=T B hiệu lực&gt;T.</t>
        </is>
      </c>
      <c r="I25" s="23" t="inlineStr">
        <is>
          <t>1) Duyệt A,B;
2) Mở chi tiết;
3) Kiểm tra trạng thái</t>
        </is>
      </c>
      <c r="J25" s="23" t="inlineStr">
        <is>
          <t>(i) Logic: A=Đang hoạt động; B=Chưa hoạt động.
(ii) UI: Trạng thái hiển thị đúng.
(iii) OT.01: APPROVE.
(iv) Data: Audit đúng.</t>
        </is>
      </c>
      <c r="K25" s="23" t="inlineStr">
        <is>
          <t>II.5.1.1.3/BR_12</t>
        </is>
      </c>
      <c r="L25" s="23" t="inlineStr">
        <is>
          <t>BR_12</t>
        </is>
      </c>
      <c r="M25" s="23" t="inlineStr">
        <is>
          <t>BR12D-SPDV-STATUS</t>
        </is>
      </c>
      <c r="N25" s="23" t="n"/>
      <c r="O25" s="23" t="n"/>
      <c r="P25" s="23" t="n"/>
      <c r="Q25" s="23" t="n"/>
      <c r="R25" s="23" t="n"/>
      <c r="S25" s="23" t="n"/>
      <c r="T25" s="23" t="n"/>
      <c r="U25" s="23" t="n"/>
    </row>
    <row r="26" ht="15.75" customHeight="1" s="17">
      <c r="A26" s="23" t="inlineStr">
        <is>
          <t>PR01-BR13D-NEG-024</t>
        </is>
      </c>
      <c r="B26" s="23" t="inlineStr">
        <is>
          <t>PR01</t>
        </is>
      </c>
      <c r="C26" s="23" t="inlineStr">
        <is>
          <t>SPDV chi tiết - Quan hệ hiệu lực</t>
        </is>
      </c>
      <c r="D26" s="23" t="inlineStr">
        <is>
          <t>Hiệu lực con phải nằm trong khoảng hiệu lực cha → vi phạm bị chặn</t>
        </is>
      </c>
      <c r="E26" s="23" t="inlineStr">
        <is>
          <t>Negative</t>
        </is>
      </c>
      <c r="F26" s="23" t="inlineStr">
        <is>
          <t>Smoke</t>
        </is>
      </c>
      <c r="G26" s="23" t="inlineStr">
        <is>
          <t>P1</t>
        </is>
      </c>
      <c r="H26" s="23" t="inlineStr">
        <is>
          <t>1. Cha hiệu lực [T1–T2] Maker đăng nhập.</t>
        </is>
      </c>
      <c r="I26" s="23" t="inlineStr">
        <is>
          <t>1) Tạo SPDV con với [T1' &lt; T1] hoặc [T2' &gt; T2];
2) “Xác nhận”</t>
        </is>
      </c>
      <c r="J26" s="23" t="inlineStr">
        <is>
          <t>(i) Logic: Con vượt ngoài cha → chặn.
(ii) UI: Lỗi nêu rõ quan hệ cha-con.
(iii) OT.01: không áp dụng.
(iv) Data: Không tạo.</t>
        </is>
      </c>
      <c r="K26" s="23" t="inlineStr">
        <is>
          <t>II.5.1.1.3/BR_13</t>
        </is>
      </c>
      <c r="L26" s="23" t="inlineStr">
        <is>
          <t>BR_13</t>
        </is>
      </c>
      <c r="M26" s="23" t="inlineStr">
        <is>
          <t>BR13D-SPDV-CHILD-INHERIT</t>
        </is>
      </c>
      <c r="N26" s="23" t="n"/>
      <c r="O26" s="23" t="n"/>
      <c r="P26" s="23" t="n"/>
      <c r="Q26" s="23" t="n"/>
      <c r="R26" s="23" t="n"/>
      <c r="S26" s="23" t="n"/>
      <c r="T26" s="23" t="n"/>
      <c r="U26" s="23" t="n"/>
    </row>
    <row r="27" ht="15.75" customHeight="1" s="17">
      <c r="A27" s="23" t="inlineStr">
        <is>
          <t>PR01-BR14D-HAPPY-025</t>
        </is>
      </c>
      <c r="B27" s="23" t="inlineStr">
        <is>
          <t>PR01</t>
        </is>
      </c>
      <c r="C27" s="23" t="inlineStr">
        <is>
          <t>SPDV chi tiết - Đổi trạng thái</t>
        </is>
      </c>
      <c r="D27" s="23" t="inlineStr">
        <is>
          <t>Đổi trạng thái qua cập nhật “Ngày hết hiệu lực”</t>
        </is>
      </c>
      <c r="E27" s="23" t="inlineStr">
        <is>
          <t>Happy</t>
        </is>
      </c>
      <c r="F27" s="23" t="inlineStr">
        <is>
          <t>Regression</t>
        </is>
      </c>
      <c r="G27" s="23" t="inlineStr">
        <is>
          <t>P2</t>
        </is>
      </c>
      <c r="H27" s="23" t="inlineStr">
        <is>
          <t>1. Có SPDV chi tiết đang Đang hoạt động Maker có quyền sửa.</t>
        </is>
      </c>
      <c r="I27" s="23" t="inlineStr">
        <is>
          <t>1) Mở chi tiết → “Sửa”;
2) Đặt Ngày hết hiệu lực=T;
3) “Xác nhận” (sinh tác vụ);
4) Checker duyệt;
5) Kiểm tra trạng thái</t>
        </is>
      </c>
      <c r="J27" s="23" t="inlineStr">
        <is>
          <t>(i) Logic: Hết hiệu lực → Ngưng hoạt động; có thể đổi ngược bằng hiệu lực mới.
(ii) UI: Trạng thái đổi sau duyệt.
(iii) OT.01: UPDATE + APPROVE (Versioning C).
(iv) Data: Cập nhật in-place.</t>
        </is>
      </c>
      <c r="K27" s="23" t="inlineStr">
        <is>
          <t>II.5.1.1.3/BR_14</t>
        </is>
      </c>
      <c r="L27" s="23" t="inlineStr">
        <is>
          <t>BR_14</t>
        </is>
      </c>
      <c r="M27" s="23" t="inlineStr">
        <is>
          <t>BR14D-SPDV-STATE-CHANGE</t>
        </is>
      </c>
      <c r="N27" s="23" t="n"/>
      <c r="O27" s="23" t="n"/>
      <c r="P27" s="23" t="n"/>
      <c r="Q27" s="23" t="n"/>
      <c r="R27" s="23" t="n"/>
      <c r="S27" s="23" t="n"/>
      <c r="T27" s="23" t="n"/>
      <c r="U27" s="23" t="n"/>
    </row>
    <row r="28" ht="15.75" customHeight="1" s="17">
      <c r="A28" s="23" t="inlineStr">
        <is>
          <t>PR01-BR17D-HAPPY-026</t>
        </is>
      </c>
      <c r="B28" s="23" t="inlineStr">
        <is>
          <t>PR01</t>
        </is>
      </c>
      <c r="C28" s="23" t="inlineStr">
        <is>
          <t>SPDV chi tiết - Metadata</t>
        </is>
      </c>
      <c r="D28" s="23" t="inlineStr">
        <is>
          <t>“Ngày tạo” tự sinh đúng định dạng</t>
        </is>
      </c>
      <c r="E28" s="23" t="inlineStr">
        <is>
          <t>Happy</t>
        </is>
      </c>
      <c r="F28" s="23" t="inlineStr">
        <is>
          <t>Regression</t>
        </is>
      </c>
      <c r="G28" s="23" t="inlineStr">
        <is>
          <t>P3</t>
        </is>
      </c>
      <c r="H28" s="23" t="inlineStr">
        <is>
          <t>1. Có SPDV chi tiết vừa tạo.</t>
        </is>
      </c>
      <c r="I28" s="23" t="inlineStr">
        <is>
          <t>1) Mở chi tiết;
2) Kiểm tra 'Ngày tạo'</t>
        </is>
      </c>
      <c r="J28" s="23" t="inlineStr">
        <is>
          <t>(i) Logic: Do hệ thống sinh theo định dạng chuẩn.
(ii) UI: YYYY-MM-DD HH:MM:SS.
(iii) OT.01: không áp dụng.
(iv) Data: Audit time khớp.</t>
        </is>
      </c>
      <c r="K28" s="23" t="inlineStr">
        <is>
          <t>II.5.1.1.3/BR_17</t>
        </is>
      </c>
      <c r="L28" s="23" t="inlineStr">
        <is>
          <t>BR_17</t>
        </is>
      </c>
      <c r="M28" s="23" t="inlineStr">
        <is>
          <t>BR17D-SPDV-CREATEDAT</t>
        </is>
      </c>
      <c r="N28" s="23" t="n"/>
      <c r="O28" s="23" t="n"/>
      <c r="P28" s="23" t="n"/>
      <c r="Q28" s="23" t="n"/>
      <c r="R28" s="23" t="n"/>
      <c r="S28" s="23" t="n"/>
      <c r="T28" s="23" t="n"/>
      <c r="U28" s="23" t="n"/>
    </row>
    <row r="29" ht="15.75" customHeight="1" s="17">
      <c r="A29" s="23" t="inlineStr">
        <is>
          <t>PR01-BR18D-HAPPY-027</t>
        </is>
      </c>
      <c r="B29" s="23" t="inlineStr">
        <is>
          <t>PR01</t>
        </is>
      </c>
      <c r="C29" s="23" t="inlineStr">
        <is>
          <t>SPDV chi tiết - Metadata</t>
        </is>
      </c>
      <c r="D29" s="23" t="inlineStr">
        <is>
          <t>“Người tạo” = username Maker</t>
        </is>
      </c>
      <c r="E29" s="23" t="inlineStr">
        <is>
          <t>Happy</t>
        </is>
      </c>
      <c r="F29" s="23" t="inlineStr">
        <is>
          <t>Regression</t>
        </is>
      </c>
      <c r="G29" s="23" t="inlineStr">
        <is>
          <t>P3</t>
        </is>
      </c>
      <c r="H29" s="23" t="inlineStr">
        <is>
          <t>1. Có SPDV chi tiết do Maker tạo.</t>
        </is>
      </c>
      <c r="I29" s="23" t="inlineStr">
        <is>
          <t>1) Mở chi tiết;
2) Kiểm tra 'Người tạo'</t>
        </is>
      </c>
      <c r="J29" s="23" t="inlineStr">
        <is>
          <t>(i) Logic: Lưu đúng username Maker.
(ii) UI: Hiển thị chính xác.
(iii) OT.01: không áp dụng.
(iv) Data: Audit CREATE ghi user.</t>
        </is>
      </c>
      <c r="K29" s="23" t="inlineStr">
        <is>
          <t>II.5.1.1.3/BR_18</t>
        </is>
      </c>
      <c r="L29" s="23" t="inlineStr">
        <is>
          <t>BR_18</t>
        </is>
      </c>
      <c r="M29" s="23" t="inlineStr">
        <is>
          <t>BR18D-SPDV-CREATEDBY</t>
        </is>
      </c>
      <c r="N29" s="23" t="n"/>
      <c r="O29" s="23" t="n"/>
      <c r="P29" s="23" t="n"/>
      <c r="Q29" s="23" t="n"/>
      <c r="R29" s="23" t="n"/>
      <c r="S29" s="23" t="n"/>
      <c r="T29" s="23" t="n"/>
      <c r="U29" s="23" t="n"/>
    </row>
    <row r="30" ht="15.75" customHeight="1" s="17">
      <c r="A30" s="23" t="inlineStr">
        <is>
          <t>PR01-FLOW-OT01-HAPPY-028</t>
        </is>
      </c>
      <c r="B30" s="23" t="inlineStr">
        <is>
          <t>PR01</t>
        </is>
      </c>
      <c r="C30" s="23" t="inlineStr">
        <is>
          <t>OT.01 - Phê duyệt (NV &amp; SPDV)</t>
        </is>
      </c>
      <c r="D30" s="23" t="inlineStr">
        <is>
          <t>Checker phê duyệt → bản ghi hiển thị trên lưới và khả dụng</t>
        </is>
      </c>
      <c r="E30" s="23" t="inlineStr">
        <is>
          <t>Happy</t>
        </is>
      </c>
      <c r="F30" s="23" t="inlineStr">
        <is>
          <t>Smoke</t>
        </is>
      </c>
      <c r="G30" s="23" t="inlineStr">
        <is>
          <t>P1</t>
        </is>
      </c>
      <c r="H30" s="23" t="inlineStr">
        <is>
          <t>1. Có ít nhất 1 NV và 1 SPDV chi tiết ở trạng thái 'Chờ duyệt'.</t>
        </is>
      </c>
      <c r="I30" s="23" t="inlineStr">
        <is>
          <t>1) Checker mở “Tác vụ chờ duyệt”;
2) Chọn tác vụ NV → “Duyệt”;
3) Chọn tác vụ SPDV → “Duyệt”;
4) Về lưới kiểm tra hiển thị</t>
        </is>
      </c>
      <c r="J30" s="23" t="inlineStr">
        <is>
          <t>(i) Logic: Trạng thái chuyển “Đã duyệt”, bản ghi khả dụng.
(ii) UI: Xuất hiện trên lưới.
(iii) OT.01: Audit APPROVE (user,timestamp).
(iv) Data: Lưu trạng thái &amp; log.</t>
        </is>
      </c>
      <c r="K30" s="23" t="inlineStr">
        <is>
          <t>II.5.1.1.2/BR_06; II.5.1.1.3/BR_16</t>
        </is>
      </c>
      <c r="L30" s="23" t="inlineStr">
        <is>
          <t>BR_06;BR_16</t>
        </is>
      </c>
      <c r="M30" s="23" t="inlineStr">
        <is>
          <t>FLOW-APPROVE</t>
        </is>
      </c>
      <c r="N30" s="23" t="n"/>
      <c r="O30" s="23" t="n"/>
      <c r="P30" s="23" t="n"/>
      <c r="Q30" s="23" t="n"/>
      <c r="R30" s="23" t="n"/>
      <c r="S30" s="23" t="n"/>
      <c r="T30" s="23" t="n"/>
      <c r="U30" s="23">
        <f>IF(R16&lt;&gt;"", R16, O16)</f>
        <v/>
      </c>
    </row>
    <row r="31" ht="15.75" customHeight="1" s="17">
      <c r="A31" s="23" t="inlineStr">
        <is>
          <t>PR01-FLOW-OT01-NEG-029</t>
        </is>
      </c>
      <c r="B31" s="23" t="inlineStr">
        <is>
          <t>PR01</t>
        </is>
      </c>
      <c r="C31" s="23" t="inlineStr">
        <is>
          <t>OT.01 - Từ chối (NV &amp; SPDV)</t>
        </is>
      </c>
      <c r="D31" s="23" t="inlineStr">
        <is>
          <t>Checker từ chối → không hiển thị trên lưới</t>
        </is>
      </c>
      <c r="E31" s="23" t="inlineStr">
        <is>
          <t>Negative</t>
        </is>
      </c>
      <c r="F31" s="23" t="inlineStr">
        <is>
          <t>Smoke</t>
        </is>
      </c>
      <c r="G31" s="23" t="inlineStr">
        <is>
          <t>P1</t>
        </is>
      </c>
      <c r="H31" s="23" t="inlineStr">
        <is>
          <t>1. Có 1 NV/SPDV chi tiết ở Chờ duyệt.</t>
        </is>
      </c>
      <c r="I31" s="23" t="inlineStr">
        <is>
          <t>1) Checker vào “Tác vụ chờ duyệt”;
2) Chọn tác vụ → “Từ chối”, nhập lý do;
3) Về lưới kiểm tra</t>
        </is>
      </c>
      <c r="J31" s="23" t="inlineStr">
        <is>
          <t>(i) Logic: Bị từ chối → không hiển thị/không áp dụng.
(ii) UI: Lý do hiển thị tại lịch sử.
(iii) OT.01: Audit REJECT.
(iv) Data: Trạng thái Từ chối lưu DB.</t>
        </is>
      </c>
      <c r="K31" s="23" t="inlineStr">
        <is>
          <t>II.5.1.1.2/BR_05; II.5.1.1.3/BR_15</t>
        </is>
      </c>
      <c r="L31" s="23" t="inlineStr">
        <is>
          <t>BR_05;BR_15</t>
        </is>
      </c>
      <c r="M31" s="23" t="inlineStr">
        <is>
          <t>FLOW-REJECT</t>
        </is>
      </c>
      <c r="N31" s="23" t="n"/>
      <c r="O31" s="23" t="n"/>
      <c r="P31" s="23" t="n"/>
      <c r="Q31" s="23" t="n"/>
      <c r="R31" s="23" t="n"/>
      <c r="S31" s="23" t="n"/>
      <c r="T31" s="23" t="n"/>
      <c r="U31" s="23">
        <f>IF(R17&lt;&gt;"", R17, O17)</f>
        <v/>
      </c>
    </row>
    <row r="32" ht="15.75" customHeight="1" s="17">
      <c r="A32" s="23" t="inlineStr">
        <is>
          <t>PR01-FLOW-EFF-HAPPY-030</t>
        </is>
      </c>
      <c r="B32" s="23" t="inlineStr">
        <is>
          <t>PR01</t>
        </is>
      </c>
      <c r="C32" s="23" t="inlineStr">
        <is>
          <t>OT.01 - Sửa hiệu lực (Versioning C)</t>
        </is>
      </c>
      <c r="D32" s="23" t="inlineStr">
        <is>
          <t>Sửa ngày hiệu lực hợp lệ ở mọi trạng thái → cập nhật in-place sau duyệt</t>
        </is>
      </c>
      <c r="E32" s="23" t="inlineStr">
        <is>
          <t>Happy</t>
        </is>
      </c>
      <c r="F32" s="23" t="inlineStr">
        <is>
          <t>Regression</t>
        </is>
      </c>
      <c r="G32" s="23" t="inlineStr">
        <is>
          <t>P2</t>
        </is>
      </c>
      <c r="H32" s="23" t="inlineStr">
        <is>
          <t>1. Có NV hoặc SPDV chi tiết 'Đã duyệt' Maker có quyền sửa.</t>
        </is>
      </c>
      <c r="I32" s="23" t="inlineStr">
        <is>
          <t>1) Maker mở chi tiết → “Sửa”;
2) Nhập [T1'–T2'] hợp lệ (không quá khứ/không vượt cha/không end&lt;start);
3) “Xác nhận” (sinh tác vụ);
4) Checker duyệt;
5) Kiểm tra lại chi tiết</t>
        </is>
      </c>
      <c r="J32" s="23" t="inlineStr">
        <is>
          <t>(i) Logic: Versioning C: update in-place; không tạo version mới.
(ii) UI: Tác vụ xuất hiện và sau duyệt hiệu lực mới hiển thị.
(iii) OT.01: Audit UPDATE + APPROVE.
(iv) Data: Bản ghi hiện hữu được cập nhật.</t>
        </is>
      </c>
      <c r="K32" s="23" t="inlineStr">
        <is>
          <t>II.5.1.1.2; II.5.1.1.3</t>
        </is>
      </c>
      <c r="L32" s="23" t="inlineStr">
        <is>
          <t>(theo bối cảnh dự án)</t>
        </is>
      </c>
      <c r="M32" s="23" t="inlineStr">
        <is>
          <t>FLOW-EFF-VALID</t>
        </is>
      </c>
      <c r="N32" s="23" t="inlineStr">
        <is>
          <t>Áp dụng rule hiệu lực chung của dự án</t>
        </is>
      </c>
      <c r="O32" s="23" t="n"/>
      <c r="P32" s="23" t="n"/>
      <c r="Q32" s="23" t="n"/>
      <c r="R32" s="23" t="n"/>
      <c r="S32" s="23" t="n"/>
      <c r="T32" s="23" t="n"/>
      <c r="U32" s="23">
        <f>IF(R18&lt;&gt;"", R18, O18)</f>
        <v/>
      </c>
    </row>
    <row r="33" ht="15.75" customHeight="1" s="17">
      <c r="A33" s="23" t="inlineStr">
        <is>
          <t>PR01-FLOW-EFF-NEG-031</t>
        </is>
      </c>
      <c r="B33" s="23" t="inlineStr">
        <is>
          <t>PR01</t>
        </is>
      </c>
      <c r="C33" s="23" t="inlineStr">
        <is>
          <t>OT.01 - Sửa hiệu lực (Versioning C)</t>
        </is>
      </c>
      <c r="D33" s="23" t="inlineStr">
        <is>
          <t>Sửa hiệu lực end&lt;start/ra quá khứ/child vượt cha → chặn &amp; không tạo tác vụ</t>
        </is>
      </c>
      <c r="E33" s="23" t="inlineStr">
        <is>
          <t>Negative</t>
        </is>
      </c>
      <c r="F33" s="23" t="inlineStr">
        <is>
          <t>Regression</t>
        </is>
      </c>
      <c r="G33" s="23" t="inlineStr">
        <is>
          <t>P2</t>
        </is>
      </c>
      <c r="H33" s="23" t="inlineStr">
        <is>
          <t>1. Có bản ghi ở trạng thái bất kỳ Maker mở Sửa.</t>
        </is>
      </c>
      <c r="I33" s="23" t="inlineStr">
        <is>
          <t>1) Nhập Ngày hết &lt; Ngày hiệu lực;
2) Hoặc chọn ngày quá khứ;
3) Với SPDV con: đặt hiệu lực vượt cha;
4) “Xác nhận”</t>
        </is>
      </c>
      <c r="J33" s="23" t="inlineStr">
        <is>
          <t>(i) Logic: Vi phạm logic hiệu lực → chặn.
(ii) UI: Báo lỗi chi tiết.
(iii) OT.01: Không sinh tác vụ.
(iv) Data: Không thay đổi.</t>
        </is>
      </c>
      <c r="K33" s="23" t="inlineStr">
        <is>
          <t>II.5.1.1.2/BR_08; II.5.1.1.3/BR_11; II.5.1.1.3/BR_13</t>
        </is>
      </c>
      <c r="L33" s="23" t="n"/>
      <c r="M33" s="23" t="inlineStr">
        <is>
          <t>FLOW-EFF-INVALID</t>
        </is>
      </c>
      <c r="N33" s="23" t="n"/>
      <c r="O33" s="23" t="n"/>
      <c r="P33" s="23" t="n"/>
      <c r="Q33" s="23" t="n"/>
      <c r="R33" s="23" t="n"/>
      <c r="S33" s="23" t="n"/>
      <c r="T33" s="23" t="n"/>
      <c r="U33" s="23">
        <f>IF(R19&lt;&gt;"", R19, O19)</f>
        <v/>
      </c>
    </row>
    <row r="34" ht="15.75" customHeight="1" s="17">
      <c r="A34" s="23" t="inlineStr">
        <is>
          <t>PR01-UI-01-OPEN-032</t>
        </is>
      </c>
      <c r="B34" s="23" t="inlineStr">
        <is>
          <t>PR01</t>
        </is>
      </c>
      <c r="C34" s="23" t="inlineStr">
        <is>
          <t>UI - Thêm mới Nghiệp vụ</t>
        </is>
      </c>
      <c r="D34" s="23" t="inlineStr">
        <is>
          <t>Mở form Thêm mới Nghiệp vụ hiển thị đúng &amp; “Cấp khai báo”=1 (read-only)</t>
        </is>
      </c>
      <c r="E34" s="23" t="inlineStr">
        <is>
          <t>Happy</t>
        </is>
      </c>
      <c r="F34" s="23" t="inlineStr">
        <is>
          <t>Regression</t>
        </is>
      </c>
      <c r="G34" s="23" t="inlineStr">
        <is>
          <t>P3</t>
        </is>
      </c>
      <c r="H34" s="23" t="inlineStr">
        <is>
          <t>1. Maker đăng nhập.</t>
        </is>
      </c>
      <c r="I34" s="23" t="inlineStr">
        <is>
          <t>1) PR01 → “Thêm mới Nghiệp vụ”;
2) Quan sát các trường;
3) Kiểm tra “Cấp khai báo”=1 và disabled</t>
        </is>
      </c>
      <c r="J34" s="23" t="inlineStr">
        <is>
          <t>(i) Logic: không áp dụng.
(ii) UI: Form/fields hiển thị đúng trạng thái.
(iii) OT.01: không áp dụng.
(iv) Data: không đổi.</t>
        </is>
      </c>
      <c r="K34" s="23" t="inlineStr">
        <is>
          <t>II.5.1.1.2/Step-2</t>
        </is>
      </c>
      <c r="L34" s="23" t="inlineStr">
        <is>
          <t>UI-FUNC.01</t>
        </is>
      </c>
      <c r="M34" s="23" t="inlineStr">
        <is>
          <t>UI-NGHV-OPEN</t>
        </is>
      </c>
      <c r="N34" s="23" t="inlineStr">
        <is>
          <t>UI-only; logic đã cover ở BR_07</t>
        </is>
      </c>
      <c r="O34" s="23" t="n"/>
      <c r="P34" s="23" t="n"/>
      <c r="Q34" s="23" t="n"/>
      <c r="R34" s="23" t="n"/>
      <c r="S34" s="23" t="n"/>
      <c r="T34" s="23" t="n"/>
      <c r="U34" s="23">
        <f>IF(R20&lt;&gt;"", R20, O20)</f>
        <v/>
      </c>
    </row>
    <row r="35" ht="15.75" customHeight="1" s="17">
      <c r="A35" s="23" t="inlineStr">
        <is>
          <t>PR01-UI-02-OPEN-033</t>
        </is>
      </c>
      <c r="B35" s="23" t="inlineStr">
        <is>
          <t>PR01</t>
        </is>
      </c>
      <c r="C35" s="23" t="inlineStr">
        <is>
          <t>UI - Thêm mới SPDV chi tiết</t>
        </is>
      </c>
      <c r="D35" s="23" t="inlineStr">
        <is>
          <t>Mở form Thêm SPDV chi tiết từ cấp cha hiển thị “Cấp SPDV liền trước: Mã - Tên”</t>
        </is>
      </c>
      <c r="E35" s="23" t="inlineStr">
        <is>
          <t>Happy</t>
        </is>
      </c>
      <c r="F35" s="23" t="inlineStr">
        <is>
          <t>Regression</t>
        </is>
      </c>
      <c r="G35" s="23" t="inlineStr">
        <is>
          <t>P3</t>
        </is>
      </c>
      <c r="H35" s="23" t="inlineStr">
        <is>
          <t>1. Có SPDV cha đã duyệt Maker đăng nhập.</t>
        </is>
      </c>
      <c r="I35" s="23" t="inlineStr">
        <is>
          <t>1) Tại bản ghi cha → bấm “+”;
2) Quan sát label/field “Cấp SPDV liền trước”</t>
        </is>
      </c>
      <c r="J35" s="23" t="inlineStr">
        <is>
          <t>(i) Logic: không áp dụng.
(ii) UI: Hiển thị đúng Mã - Tên cha.
(iii) OT.01: không áp dụng.
(iv) Data: không đổi.</t>
        </is>
      </c>
      <c r="K35" s="23" t="inlineStr">
        <is>
          <t>II.5.1.1.3/BR_06</t>
        </is>
      </c>
      <c r="L35" s="23" t="inlineStr">
        <is>
          <t>UI-FUNC.02</t>
        </is>
      </c>
      <c r="M35" s="23" t="inlineStr">
        <is>
          <t>UI-SPDV-OPEN</t>
        </is>
      </c>
      <c r="N35" s="23" t="n"/>
      <c r="O35" s="23" t="n"/>
      <c r="P35" s="23" t="n"/>
      <c r="Q35" s="23" t="n"/>
      <c r="R35" s="23" t="n"/>
      <c r="S35" s="23" t="n"/>
      <c r="T35" s="23" t="n"/>
      <c r="U35" s="23">
        <f>IF(R21&lt;&gt;"", R21, O21)</f>
        <v/>
      </c>
    </row>
    <row r="36" ht="15.75" customHeight="1" s="17">
      <c r="A36" s="23" t="inlineStr">
        <is>
          <t>PR01-UI-03-VIEW-034</t>
        </is>
      </c>
      <c r="B36" s="23" t="inlineStr">
        <is>
          <t>PR01</t>
        </is>
      </c>
      <c r="C36" s="23" t="inlineStr">
        <is>
          <t>UI - Xem</t>
        </is>
      </c>
      <c r="D36" s="23" t="inlineStr">
        <is>
          <t>Xem chi tiết NV/SPDV ở chế độ read-only</t>
        </is>
      </c>
      <c r="E36" s="23" t="inlineStr">
        <is>
          <t>Happy</t>
        </is>
      </c>
      <c r="F36" s="23" t="inlineStr">
        <is>
          <t>Regression</t>
        </is>
      </c>
      <c r="G36" s="23" t="inlineStr">
        <is>
          <t>P3</t>
        </is>
      </c>
      <c r="H36" s="23" t="inlineStr">
        <is>
          <t>1. Có dữ liệu NV/SPDV.</t>
        </is>
      </c>
      <c r="I36" s="23" t="inlineStr">
        <is>
          <t>1) Chọn 1 bản ghi → “Xem”;
2) Kiểm tra trạng thái field (read-only)</t>
        </is>
      </c>
      <c r="J36" s="23" t="inlineStr">
        <is>
          <t>(i) Logic: không áp dụng.
(ii) UI: Màn hình chỉ xem (khóa chỉnh sửa).
(iii) OT.01: không áp dụng.
(iv) Data: không đổi.</t>
        </is>
      </c>
      <c r="K36" s="23" t="inlineStr">
        <is>
          <t>II.5.1.1.1</t>
        </is>
      </c>
      <c r="L36" s="23" t="inlineStr">
        <is>
          <t>UI-FUNC.03</t>
        </is>
      </c>
      <c r="M36" s="23" t="inlineStr">
        <is>
          <t>UI-VIEW-RO</t>
        </is>
      </c>
      <c r="N36" s="23" t="n"/>
      <c r="O36" s="23" t="n"/>
      <c r="P36" s="23" t="n"/>
      <c r="Q36" s="23" t="n"/>
      <c r="R36" s="23" t="n"/>
      <c r="S36" s="23" t="n"/>
      <c r="T36" s="23" t="n"/>
      <c r="U36" s="23">
        <f>IF(R22&lt;&gt;"", R22, O22)</f>
        <v/>
      </c>
    </row>
    <row r="37" ht="15.75" customHeight="1" s="17">
      <c r="A37" s="23" t="inlineStr">
        <is>
          <t>PR01-UI-04-EDITNAV-035</t>
        </is>
      </c>
      <c r="B37" s="23" t="inlineStr">
        <is>
          <t>PR01</t>
        </is>
      </c>
      <c r="C37" s="23" t="inlineStr">
        <is>
          <t>UI - Sửa</t>
        </is>
      </c>
      <c r="D37" s="23" t="inlineStr">
        <is>
          <t>Điều hướng Sửa → Lưu → quay lại lưới vẫn giữ giá trị đã lưu</t>
        </is>
      </c>
      <c r="E37" s="23" t="inlineStr">
        <is>
          <t>Happy</t>
        </is>
      </c>
      <c r="F37" s="23" t="inlineStr">
        <is>
          <t>Regression</t>
        </is>
      </c>
      <c r="G37" s="23" t="inlineStr">
        <is>
          <t>P3</t>
        </is>
      </c>
      <c r="H37" s="23" t="inlineStr">
        <is>
          <t>1. Có bản ghi NV hoặc SPDV Maker có quyền sửa.</t>
        </is>
      </c>
      <c r="I37" s="23" t="inlineStr">
        <is>
          <t>1) Chọn bản ghi → “Sửa”;
2) Đổi mô tả → “Xác nhận”;
3) Về lưới → mở lại chi tiết</t>
        </is>
      </c>
      <c r="J37" s="23" t="inlineStr">
        <is>
          <t>(i) Logic: không áp dụng.
(ii) UI: Giá trị đã lưu hiển thị đúng; điều hướng mượt.
(iii) OT.01: Nếu thuộc luồng duyệt → sinh tác vụ.
(iv) Data: Audit UPDATE ghi trường thay đổi.</t>
        </is>
      </c>
      <c r="K37" s="23" t="inlineStr">
        <is>
          <t>II.5.1.1.1</t>
        </is>
      </c>
      <c r="L37" s="23" t="inlineStr">
        <is>
          <t>UI-FUNC.04</t>
        </is>
      </c>
      <c r="M37" s="23" t="inlineStr">
        <is>
          <t>UI-EDIT-NAV</t>
        </is>
      </c>
      <c r="N37" s="23" t="inlineStr">
        <is>
          <t>Không kiểm rule hiệu lực (đã có FLOW-EFF-…)</t>
        </is>
      </c>
      <c r="O37" s="23" t="n"/>
      <c r="P37" s="23" t="n"/>
      <c r="Q37" s="23" t="n"/>
      <c r="R37" s="23" t="n"/>
      <c r="S37" s="23" t="n"/>
      <c r="T37" s="23" t="n"/>
      <c r="U37" s="23">
        <f>IF(R23&lt;&gt;"", R23, O23)</f>
        <v/>
      </c>
    </row>
    <row r="38" ht="15.75" customHeight="1" s="17">
      <c r="A38" s="23" t="inlineStr">
        <is>
          <t>PR01-UI-05-FILTER-036</t>
        </is>
      </c>
      <c r="B38" s="23" t="inlineStr">
        <is>
          <t>PR01</t>
        </is>
      </c>
      <c r="C38" s="23" t="inlineStr">
        <is>
          <t>UI - Lọc</t>
        </is>
      </c>
      <c r="D38" s="23" t="inlineStr">
        <is>
          <t>Tìm kiếm theo Tên/Mã/Trạng thái; “Xóa lọc” khôi phục lưới</t>
        </is>
      </c>
      <c r="E38" s="23" t="inlineStr">
        <is>
          <t>Happy</t>
        </is>
      </c>
      <c r="F38" s="23" t="inlineStr">
        <is>
          <t>Regression</t>
        </is>
      </c>
      <c r="G38" s="23" t="inlineStr">
        <is>
          <t>P2</t>
        </is>
      </c>
      <c r="H38" s="23" t="inlineStr">
        <is>
          <t>1. Có nhiều bản ghi NV &amp; SPDV.</t>
        </is>
      </c>
      <c r="I38" s="23" t="inlineStr">
        <is>
          <t>1) Lọc theo Tên;
2) Lọc theo Mã;
3) Lọc theo Trạng thái;
4) Nhấn “Xóa lọc”</t>
        </is>
      </c>
      <c r="J38" s="23" t="inlineStr">
        <is>
          <t>(i) Logic: không áp dụng.
(ii) UI: Bộ lọc trả kết quả đúng; Xóa lọc khôi phục.
(iii) OT.01: không áp dụng.
(iv) Data: không đổi.</t>
        </is>
      </c>
      <c r="K38" s="23" t="inlineStr">
        <is>
          <t>II.5.1.1.1</t>
        </is>
      </c>
      <c r="L38" s="23" t="inlineStr">
        <is>
          <t>UI-FUNC.05</t>
        </is>
      </c>
      <c r="M38" s="23" t="inlineStr">
        <is>
          <t>UI-FILTER-BASIC</t>
        </is>
      </c>
      <c r="N38" s="23" t="n"/>
      <c r="O38" s="23" t="n"/>
      <c r="P38" s="23" t="n"/>
      <c r="Q38" s="23" t="n"/>
      <c r="R38" s="23" t="n"/>
      <c r="S38" s="23" t="n"/>
      <c r="T38" s="23" t="n"/>
      <c r="U38" s="23">
        <f>IF(R24&lt;&gt;"", R24, O24)</f>
        <v/>
      </c>
    </row>
    <row r="39" ht="15.75" customHeight="1" s="17">
      <c r="A39" s="23" t="inlineStr">
        <is>
          <t>PR01-UI-06-EXPORT-037</t>
        </is>
      </c>
      <c r="B39" s="23" t="inlineStr">
        <is>
          <t>PR01</t>
        </is>
      </c>
      <c r="C39" s="23" t="inlineStr">
        <is>
          <t>UI - Tải xuống</t>
        </is>
      </c>
      <c r="D39" s="23" t="inlineStr">
        <is>
          <t>Export dữ liệu lưới ra .xlsx (theo lọc &amp; toàn bộ)</t>
        </is>
      </c>
      <c r="E39" s="23" t="inlineStr">
        <is>
          <t>Happy</t>
        </is>
      </c>
      <c r="F39" s="23" t="inlineStr">
        <is>
          <t>Regression</t>
        </is>
      </c>
      <c r="G39" s="23" t="inlineStr">
        <is>
          <t>P2</t>
        </is>
      </c>
      <c r="H39" s="23" t="inlineStr">
        <is>
          <t>1. Có dữ liệu đã áp dụng 1 bộ lọc.</t>
        </is>
      </c>
      <c r="I39" s="23" t="inlineStr">
        <is>
          <t>1) Nhấn “Tải xuống” → chọn .xlsx;
2) Mở file kiểm tra;
3) Xóa lọc → export lại;
4) So sánh 2 file</t>
        </is>
      </c>
      <c r="J39" s="23" t="inlineStr">
        <is>
          <t>(i) Logic: không áp dụng.
(ii) UI: Hộp thoại export hoạt động; file sinh thành công.
(iii) OT.01: không áp dụng.
(iv) File: Lần 1 theo bộ lọc; lần 2 toàn bộ.</t>
        </is>
      </c>
      <c r="K39" s="23" t="inlineStr">
        <is>
          <t>II.5.1.1.1</t>
        </is>
      </c>
      <c r="L39" s="23" t="inlineStr">
        <is>
          <t>UI-FUNC.06</t>
        </is>
      </c>
      <c r="M39" s="23" t="inlineStr">
        <is>
          <t>UI-EXPORT-BASIC</t>
        </is>
      </c>
      <c r="N39" s="23" t="n"/>
      <c r="O39" s="23" t="n"/>
      <c r="P39" s="23" t="n"/>
      <c r="Q39" s="23" t="n"/>
      <c r="R39" s="23" t="n"/>
      <c r="S39" s="23" t="n"/>
      <c r="T39" s="23" t="n"/>
      <c r="U39" s="23">
        <f>IF(R25&lt;&gt;"", R25, O25)</f>
        <v/>
      </c>
    </row>
    <row r="40" ht="15.75" customHeight="1" s="17">
      <c r="A40" s="23" t="inlineStr">
        <is>
          <t>PR01-UI-07-ADDCODE-038</t>
        </is>
      </c>
      <c r="B40" s="23" t="inlineStr">
        <is>
          <t>PR01</t>
        </is>
      </c>
      <c r="C40" s="23" t="inlineStr">
        <is>
          <t>UI - Thêm code phí</t>
        </is>
      </c>
      <c r="D40" s="23" t="inlineStr">
        <is>
          <t>Điều hướng “Thêm code phí” từ SPDV cấp cuối mở đúng form khởi tạo</t>
        </is>
      </c>
      <c r="E40" s="23" t="inlineStr">
        <is>
          <t>Happy</t>
        </is>
      </c>
      <c r="F40" s="23" t="inlineStr">
        <is>
          <t>Regression</t>
        </is>
      </c>
      <c r="G40" s="23" t="inlineStr">
        <is>
          <t>P2</t>
        </is>
      </c>
      <c r="H40" s="23" t="inlineStr">
        <is>
          <t>1. Có SPDV cấp cuối đã duyệt Maker đăng nhập.</t>
        </is>
      </c>
      <c r="I40" s="23" t="inlineStr">
        <is>
          <t>1) Tại SPDV cuối → nhấn “Thêm code phí”;
2) Quan sát form khởi tạo;
3) Quay lại</t>
        </is>
      </c>
      <c r="J40" s="23" t="inlineStr">
        <is>
          <t>(i) Logic: không áp dụng.
(ii) UI: Form Add Code phí mở đúng ngữ cảnh SPDV cuối.
(iii) OT.01: không áp dụng.
(iv) Data: không đổi.</t>
        </is>
      </c>
      <c r="K40" s="23" t="inlineStr">
        <is>
          <t>II.5.1.1.1</t>
        </is>
      </c>
      <c r="L40" s="23" t="inlineStr">
        <is>
          <t>UI-FUNC.07</t>
        </is>
      </c>
      <c r="M40" s="23" t="inlineStr">
        <is>
          <t>UI-ADDCODE-NAV</t>
        </is>
      </c>
      <c r="N40" s="23" t="inlineStr">
        <is>
          <t>UI-only; BR Code phí nằm ngoài phạm vi URD-đoạn này</t>
        </is>
      </c>
      <c r="O40" s="23" t="n"/>
      <c r="P40" s="23" t="n"/>
      <c r="Q40" s="23" t="n"/>
      <c r="R40" s="23" t="n"/>
      <c r="S40" s="23" t="n"/>
      <c r="T40" s="23" t="n"/>
      <c r="U40" s="23">
        <f>IF(R26&lt;&gt;"", R26, O26)</f>
        <v/>
      </c>
    </row>
    <row r="41" ht="15.75" customHeight="1" s="17">
      <c r="A41" s="23" t="inlineStr">
        <is>
          <t>PR01-UI-META-039</t>
        </is>
      </c>
      <c r="B41" s="23" t="inlineStr">
        <is>
          <t>PR01</t>
        </is>
      </c>
      <c r="C41" s="23" t="inlineStr">
        <is>
          <t>UI - Lưới/Meta</t>
        </is>
      </c>
      <c r="D41" s="23" t="inlineStr">
        <is>
          <t>Cột “Ngày tạo/Người tạo” hiển thị đúng định dạng &amp; giá trị</t>
        </is>
      </c>
      <c r="E41" s="23" t="inlineStr">
        <is>
          <t>Happy</t>
        </is>
      </c>
      <c r="F41" s="23" t="inlineStr">
        <is>
          <t>Regression</t>
        </is>
      </c>
      <c r="G41" s="23" t="inlineStr">
        <is>
          <t>P3</t>
        </is>
      </c>
      <c r="H41" s="23" t="inlineStr">
        <is>
          <t>1. Có dữ liệu nhiều bản ghi.</t>
        </is>
      </c>
      <c r="I41" s="23" t="inlineStr">
        <is>
          <t>1) Mở lưới;
2) Bật hiển thị cột Ngày tạo/Người tạo;
3) Quan sát định dạng &amp; giá trị</t>
        </is>
      </c>
      <c r="J41" s="23" t="inlineStr">
        <is>
          <t>(i) Logic: không áp dụng.
(ii) UI: Ngày định dạng chuẩn; Người tạo hiển thị đúng.
(iii) OT.01: không áp dụng.
(iv) Data: khớp DB/audit.</t>
        </is>
      </c>
      <c r="K41" s="23" t="inlineStr">
        <is>
          <t>II.5.1.1.2/BR_11; II.5.1.1.2/BR_12; II.5.1.1.3/BR_17; II.5.1.1.3/BR_18</t>
        </is>
      </c>
      <c r="L41" s="23" t="inlineStr">
        <is>
          <t>UI-FUNC.05</t>
        </is>
      </c>
      <c r="M41" s="23" t="inlineStr">
        <is>
          <t>UI-META-DISPLAY</t>
        </is>
      </c>
      <c r="N41" s="23" t="inlineStr">
        <is>
          <t>UI chỉ kiểm hiển thị; logic auto đã có BR11/12 &amp; BR17/18</t>
        </is>
      </c>
      <c r="O41" s="23" t="n"/>
      <c r="P41" s="23" t="n"/>
      <c r="Q41" s="23" t="n"/>
      <c r="R41" s="23" t="n"/>
      <c r="S41" s="23" t="n"/>
      <c r="T41" s="23" t="n"/>
      <c r="U41" s="23">
        <f>IF(R27&lt;&gt;"", R27, O27)</f>
        <v/>
      </c>
    </row>
    <row r="42" ht="15.75" customHeight="1" s="17">
      <c r="A42" s="23" t="inlineStr">
        <is>
          <t>PR01-NOTE-ONLY-040</t>
        </is>
      </c>
      <c r="B42" s="23" t="inlineStr">
        <is>
          <t>PR01</t>
        </is>
      </c>
      <c r="C42" s="23" t="inlineStr">
        <is>
          <t>Note only</t>
        </is>
      </c>
      <c r="D42" s="23" t="inlineStr">
        <is>
          <t>ĐÃ COVER logic “Chưa duyệt không hiển thị” cho NV &amp; SPDV</t>
        </is>
      </c>
      <c r="E42" s="23" t="inlineStr">
        <is>
          <t>Note only</t>
        </is>
      </c>
      <c r="F42" s="23" t="inlineStr">
        <is>
          <t>-</t>
        </is>
      </c>
      <c r="G42" s="23" t="inlineStr">
        <is>
          <t>P3</t>
        </is>
      </c>
      <c r="H42" s="23" t="n"/>
      <c r="I42" s="23" t="inlineStr">
        <is>
          <t>-</t>
        </is>
      </c>
      <c r="J42" s="23" t="inlineStr">
        <is>
          <t>ĐÃ COVER ở PR01-BR05-HAPPY-006 và PR01-BR03D-HAPPY-016 (URD_Ref II.
5.
1.
1.2/BR_05; II.
5.
1.
1.3/BR_03)</t>
        </is>
      </c>
      <c r="K42" s="23" t="inlineStr">
        <is>
          <t>II.5.1.1.2/BR_05; II.5.1.1.3/BR_03</t>
        </is>
      </c>
      <c r="L42" s="23" t="inlineStr">
        <is>
          <t>-</t>
        </is>
      </c>
      <c r="M42" s="23" t="inlineStr">
        <is>
          <t>DEDUP-NOTSHOW</t>
        </is>
      </c>
      <c r="N42" s="23" t="n"/>
      <c r="O42" s="23" t="n"/>
      <c r="P42" s="23" t="n"/>
      <c r="Q42" s="23" t="n"/>
      <c r="R42" s="23" t="n"/>
      <c r="S42" s="23" t="n"/>
      <c r="T42" s="23" t="n"/>
      <c r="U42" s="23" t="n"/>
    </row>
    <row r="43" ht="15.75" customHeight="1" s="17">
      <c r="A43" s="23" t="inlineStr">
        <is>
          <t>PR01-BR03-BOU-041</t>
        </is>
      </c>
      <c r="B43" s="23" t="inlineStr">
        <is>
          <t>PR01</t>
        </is>
      </c>
      <c r="C43" s="23" t="inlineStr">
        <is>
          <t>Thêm mới Nghiệp vụ</t>
        </is>
      </c>
      <c r="D43" s="23" t="inlineStr">
        <is>
          <t>BR_03: Hệ thống đạt giới hạn 99 bản ghi Nghiệp vụ</t>
        </is>
      </c>
      <c r="E43" s="23" t="inlineStr">
        <is>
          <t>Boundary</t>
        </is>
      </c>
      <c r="F43" s="23" t="inlineStr">
        <is>
          <t>Regression</t>
        </is>
      </c>
      <c r="G43" s="23" t="inlineStr">
        <is>
          <t>P2</t>
        </is>
      </c>
      <c r="H43" s="23" t="inlineStr">
        <is>
          <t>1. Hệ thống đã có 99 bản ghi Nghiệp vụ cấp 1.</t>
        </is>
      </c>
      <c r="I43" s="23" t="inlineStr">
        <is>
          <t>1. Thực hiện mở form Thêm mới.
2. Quan sát logic sinh mã (Series 01-99).</t>
        </is>
      </c>
      <c r="J43" s="23" t="inlineStr">
        <is>
          <t>(i) Logic: Chặn thêm mới khi hết dải số (hoặc báo liên hệ Admin).
(ii) UI: Mã tự sinh không thể hiển thị giá trị hợp lệ (&gt;99).
(iii) Trạng thái: N/A.
(iv) Khác: N/A</t>
        </is>
      </c>
      <c r="K43" s="23" t="inlineStr">
        <is>
          <t>BR Code: BR_03</t>
        </is>
      </c>
      <c r="L43" s="23" t="inlineStr">
        <is>
          <t>BR_03</t>
        </is>
      </c>
      <c r="M43" s="23" t="inlineStr">
        <is>
          <t>BR03-LIMIT</t>
        </is>
      </c>
      <c r="N43" s="23" t="inlineStr">
        <is>
          <t>Bổ sung GAPs review.</t>
        </is>
      </c>
      <c r="O43" s="23" t="n"/>
      <c r="P43" s="23" t="n"/>
      <c r="Q43" s="23" t="n"/>
      <c r="R43" s="23" t="n"/>
      <c r="S43" s="23" t="n"/>
      <c r="T43" s="23" t="n"/>
      <c r="U43" s="23">
        <f>IF(R28&lt;&gt;"", R28, O28)</f>
        <v/>
      </c>
    </row>
    <row r="44" ht="15.75" customHeight="1" s="17">
      <c r="A44" s="23" t="inlineStr">
        <is>
          <t>PR01-BR08-NEG-042</t>
        </is>
      </c>
      <c r="B44" s="23" t="inlineStr">
        <is>
          <t>PR01</t>
        </is>
      </c>
      <c r="C44" s="23" t="inlineStr">
        <is>
          <t>Thành phần Ngày hiệu lực</t>
        </is>
      </c>
      <c r="D44" s="23" t="inlineStr">
        <is>
          <t>BR_08: Chọn Ngày hiệu lực trong quá khứ (T-1)</t>
        </is>
      </c>
      <c r="E44" s="23" t="inlineStr">
        <is>
          <t>Negative</t>
        </is>
      </c>
      <c r="F44" s="23" t="inlineStr">
        <is>
          <t>Regression</t>
        </is>
      </c>
      <c r="G44" s="23" t="inlineStr">
        <is>
          <t>P1</t>
        </is>
      </c>
      <c r="H44" s="23" t="inlineStr">
        <is>
          <t>1. Maker đang ở màn hình Thêm mới.</t>
        </is>
      </c>
      <c r="I44" s="23" t="inlineStr">
        <is>
          <t>1. Tại ô 'Ngày hiệu lực', chọn ngày nhỏ hơn T.
2. Nhấn Xác nhận.</t>
        </is>
      </c>
      <c r="J44" s="23" t="inlineStr">
        <is>
          <t>(i) Logic: Hệ thống validate ngày hiệu lực &gt;= Today.
(ii) UI: Toast lỗi: 'Ngày hiệu lực không được nhỏ hơn ngày hiện tại'.
(iii) Trạng thái: N/A.
(iv) Khác: N/A</t>
        </is>
      </c>
      <c r="K44" s="23" t="inlineStr">
        <is>
          <t>BR Code: BR_08</t>
        </is>
      </c>
      <c r="L44" s="23" t="inlineStr">
        <is>
          <t>BR_08</t>
        </is>
      </c>
      <c r="M44" s="23" t="inlineStr">
        <is>
          <t>BR08-NEG-PAST</t>
        </is>
      </c>
      <c r="N44" s="23" t="inlineStr">
        <is>
          <t>Bổ sung GAPs review.</t>
        </is>
      </c>
      <c r="O44" s="23" t="n"/>
      <c r="P44" s="23" t="n"/>
      <c r="Q44" s="23" t="n"/>
      <c r="R44" s="23" t="n"/>
      <c r="S44" s="23" t="n"/>
      <c r="T44" s="23" t="n"/>
      <c r="U44" s="23">
        <f>IF(R29&lt;&gt;"", R29, O29)</f>
        <v/>
      </c>
    </row>
    <row r="45" ht="15.75" customHeight="1" s="17">
      <c r="A45" s="23" t="inlineStr">
        <is>
          <t>PR01-BR09-HAP-043</t>
        </is>
      </c>
      <c r="B45" s="23" t="inlineStr">
        <is>
          <t>PR01</t>
        </is>
      </c>
      <c r="C45" s="23" t="inlineStr">
        <is>
          <t>Trạng thái tự động</t>
        </is>
      </c>
      <c r="D45" s="23" t="inlineStr">
        <is>
          <t>BR_09: Tự động cập nhật 'Đang hoạt động' khi Today = Ngày hiệu lực</t>
        </is>
      </c>
      <c r="E45" s="23" t="inlineStr">
        <is>
          <t>HappyPath</t>
        </is>
      </c>
      <c r="F45" s="23" t="inlineStr">
        <is>
          <t>Smoke</t>
        </is>
      </c>
      <c r="G45" s="23" t="inlineStr">
        <is>
          <t>P1</t>
        </is>
      </c>
      <c r="H45" s="23" t="inlineStr">
        <is>
          <t>1. Ngày hiện tại = 2026-03- Ngày hiệu lực nhập = 2026-03-19.</t>
        </is>
      </c>
      <c r="I45" s="23" t="inlineStr">
        <is>
          <t>1. Tạo bản ghi với Ngày hiệu lực = Today.
2. Checker phê duyệt thành công.
3. Kiểm tra thông tin tại màn hình Danh sách.</t>
        </is>
      </c>
      <c r="J45" s="23" t="inlineStr">
        <is>
          <t>(i) Logic: Trạng thái tự động chuyển thành 'Đang hoạt động'.
(ii) UI: Cột Trạng thái hiển thị nhãn màu xanh (Đang hoạt động).
(iii) Trạng thái/Audit: Bản ghi Active.
(iv) Khác: N/A</t>
        </is>
      </c>
      <c r="K45" s="23" t="inlineStr">
        <is>
          <t>BR Code: BR_09</t>
        </is>
      </c>
      <c r="L45" s="23" t="inlineStr">
        <is>
          <t>BR_09</t>
        </is>
      </c>
      <c r="M45" s="23" t="inlineStr">
        <is>
          <t>BR09-HAP-ACT</t>
        </is>
      </c>
      <c r="N45" s="23" t="inlineStr">
        <is>
          <t>Bổ sung GAPs review.</t>
        </is>
      </c>
      <c r="O45" s="23" t="n"/>
      <c r="P45" s="23" t="n"/>
      <c r="Q45" s="23" t="n"/>
      <c r="R45" s="23" t="n"/>
      <c r="S45" s="23" t="n"/>
      <c r="T45" s="23" t="n"/>
      <c r="U45" s="23">
        <f>IF(R30&lt;&gt;"", R30, O30)</f>
        <v/>
      </c>
    </row>
    <row r="46" ht="15.75" customHeight="1" s="17">
      <c r="A46" s="23" t="inlineStr">
        <is>
          <t>PR01-BR09-HAP-044</t>
        </is>
      </c>
      <c r="B46" s="23" t="inlineStr">
        <is>
          <t>PR01</t>
        </is>
      </c>
      <c r="C46" s="23" t="inlineStr">
        <is>
          <t>Trạng thái tự động</t>
        </is>
      </c>
      <c r="D46" s="23" t="inlineStr">
        <is>
          <t>BR_09: Trạng thái 'Không hoạt động' khi Today &lt; Ngày hiệu lực</t>
        </is>
      </c>
      <c r="E46" s="23" t="inlineStr">
        <is>
          <t>HappyPath</t>
        </is>
      </c>
      <c r="F46" s="23" t="inlineStr">
        <is>
          <t>Regression</t>
        </is>
      </c>
      <c r="G46" s="23" t="inlineStr">
        <is>
          <t>P2</t>
        </is>
      </c>
      <c r="H46" s="23" t="inlineStr">
        <is>
          <t>1. Ngày hiện tại = 2026-03- Ngày hiệu lực nhập = 2026-03-25.</t>
        </is>
      </c>
      <c r="I46" s="23" t="inlineStr">
        <is>
          <t>1. Tạo bản ghi với Ngày hiệu lực trong tương lai.
2. Checker phê duyệt thành công.
3. Kiểm tra thông tin tại màn hình Danh sách.</t>
        </is>
      </c>
      <c r="J46" s="23" t="inlineStr">
        <is>
          <t>(i) Logic: Trạng thái là 'Không hoạt động' cho tới khi tới ngày hiệu lực.
(ii) UI: Cột Trạng thái hiển thị đúng giá trị 'Không hoạt động'.
(iii) Trạng thái/Audit: Bản ghi Inactive.
(iv) Khác: N/A</t>
        </is>
      </c>
      <c r="K46" s="23" t="inlineStr">
        <is>
          <t>BR Code: BR_09</t>
        </is>
      </c>
      <c r="L46" s="23" t="inlineStr">
        <is>
          <t>BR_09</t>
        </is>
      </c>
      <c r="M46" s="23" t="inlineStr">
        <is>
          <t>BR09-HAP-INACT</t>
        </is>
      </c>
      <c r="N46" s="23" t="inlineStr">
        <is>
          <t>Bổ sung GAPs review.</t>
        </is>
      </c>
      <c r="O46" s="23" t="n"/>
      <c r="P46" s="23" t="n"/>
      <c r="Q46" s="23" t="n"/>
      <c r="R46" s="23" t="n"/>
      <c r="S46" s="23" t="n"/>
      <c r="T46" s="23" t="n"/>
      <c r="U46" s="23">
        <f>IF(R31&lt;&gt;"", R31, O31)</f>
        <v/>
      </c>
    </row>
    <row r="47" ht="15.75" customHeight="1" s="17">
      <c r="A47" s="23" t="inlineStr">
        <is>
          <t>PR01-BR10-FLOW-045</t>
        </is>
      </c>
      <c r="B47" s="23" t="inlineStr">
        <is>
          <t>PR01</t>
        </is>
      </c>
      <c r="C47" s="23" t="inlineStr">
        <is>
          <t>Đổi trạng thái</t>
        </is>
      </c>
      <c r="D47" s="23" t="inlineStr">
        <is>
          <t>BR_10: Đổi trạng thái từ 'Đang hoạt động' sang 'Ngưng hoạt động' qua Ngày kết thúc</t>
        </is>
      </c>
      <c r="E47" s="23" t="inlineStr">
        <is>
          <t>Flow</t>
        </is>
      </c>
      <c r="F47" s="23" t="inlineStr">
        <is>
          <t>Regression</t>
        </is>
      </c>
      <c r="G47" s="23" t="inlineStr">
        <is>
          <t>P2</t>
        </is>
      </c>
      <c r="H47" s="23" t="inlineStr">
        <is>
          <t>1. Bản ghi đang hoạt động.</t>
        </is>
      </c>
      <c r="I47" s="23" t="inlineStr">
        <is>
          <t>1. Thực hiện Sửa Nghiệp vụ.
2. Nhập Ngày hết hiệu lực = Today.
3. Nhấn Xác nhận và Checker duyệt.</t>
        </is>
      </c>
      <c r="J47" s="23" t="inlineStr">
        <is>
          <t>(i) Logic: Trạng thái Nghiệp vụ chuyển sang 'Ngưng hoạt động'.
(ii) UI: Hiển thị đúng nhãn trạng thái mới trên lưới.
(iii) Trạng thái/Audit: Ghi nhận lịch sử thay đổi.
(iv) Khác: N/A</t>
        </is>
      </c>
      <c r="K47" s="23" t="inlineStr">
        <is>
          <t>BR Code: BR_10</t>
        </is>
      </c>
      <c r="L47" s="23" t="inlineStr">
        <is>
          <t>BR_10</t>
        </is>
      </c>
      <c r="M47" s="23" t="inlineStr">
        <is>
          <t>BR10-FLOW-STOP</t>
        </is>
      </c>
      <c r="N47" s="23" t="inlineStr">
        <is>
          <t>Bổ sung GAPs review.</t>
        </is>
      </c>
      <c r="O47" s="23" t="n"/>
      <c r="P47" s="23" t="n"/>
      <c r="Q47" s="23" t="n"/>
      <c r="R47" s="23" t="n"/>
      <c r="S47" s="23" t="n"/>
      <c r="T47" s="23" t="n"/>
      <c r="U47" s="23">
        <f>IF(R32&lt;&gt;"", R32, O32)</f>
        <v/>
      </c>
    </row>
    <row r="48" ht="15.75" customHeight="1" s="17">
      <c r="A48" s="23" t="inlineStr">
        <is>
          <t>PR01-BR04-NEG-046</t>
        </is>
      </c>
      <c r="B48" s="23" t="inlineStr">
        <is>
          <t>PR01</t>
        </is>
      </c>
      <c r="C48" s="23" t="inlineStr">
        <is>
          <t>Bảo vệ dữ liệu</t>
        </is>
      </c>
      <c r="D48" s="23" t="inlineStr">
        <is>
          <t>BR_04: Cố định Mã nghiệp vụ (Read-only)</t>
        </is>
      </c>
      <c r="E48" s="23" t="inlineStr">
        <is>
          <t>Negative</t>
        </is>
      </c>
      <c r="F48" s="23" t="inlineStr">
        <is>
          <t>Regression</t>
        </is>
      </c>
      <c r="G48" s="23" t="inlineStr">
        <is>
          <t>P3</t>
        </is>
      </c>
      <c r="H48" s="23" t="inlineStr">
        <is>
          <t>1. Đang mở màn hình Thêm mới/Sửa.</t>
        </is>
      </c>
      <c r="I48" s="23" t="inlineStr">
        <is>
          <t>1. Thực hiện click vào ô Mã nghiệp vụ.
2. Cố gắng nhập liệu hoặc xóa dữ liệu.</t>
        </is>
      </c>
      <c r="J48" s="23" t="inlineStr">
        <is>
          <t>(i) Logic: Trường Mã là tự sinh và không cho phép can thiệp từ người dùng.
(ii) UI: Ô input bị mờ (Disabled/ReadOnly), không có con trỏ nhập liệu.
(iii) Trạng thái/Audit: N/A.
(iv) Khác: N/A</t>
        </is>
      </c>
      <c r="K48" s="23" t="inlineStr">
        <is>
          <t>BR Code: BR_04</t>
        </is>
      </c>
      <c r="L48" s="23" t="inlineStr">
        <is>
          <t>BR_04</t>
        </is>
      </c>
      <c r="M48" s="23" t="inlineStr">
        <is>
          <t>BR04-CODE-RO</t>
        </is>
      </c>
      <c r="N48" s="23" t="inlineStr">
        <is>
          <t>Bổ sung GAPs review.</t>
        </is>
      </c>
      <c r="O48" s="23" t="n"/>
      <c r="P48" s="23" t="n"/>
      <c r="Q48" s="23" t="n"/>
      <c r="R48" s="23" t="n"/>
      <c r="S48" s="23" t="n"/>
      <c r="T48" s="23" t="n"/>
      <c r="U48" s="23">
        <f>IF(R33&lt;&gt;"", R33, O33)</f>
        <v/>
      </c>
    </row>
    <row r="49" ht="15.75" customHeight="1" s="17">
      <c r="A49" s="23" t="inlineStr">
        <is>
          <t>PR01-BR07-NEG-047</t>
        </is>
      </c>
      <c r="B49" s="23" t="inlineStr">
        <is>
          <t>PR01</t>
        </is>
      </c>
      <c r="C49" s="23" t="inlineStr">
        <is>
          <t>Bảo vệ dữ liệu</t>
        </is>
      </c>
      <c r="D49" s="23" t="inlineStr">
        <is>
          <t>BR_07: Cố định Cấp SPDV = 1 (Read-only)</t>
        </is>
      </c>
      <c r="E49" s="23" t="inlineStr">
        <is>
          <t>Negative</t>
        </is>
      </c>
      <c r="F49" s="23" t="inlineStr">
        <is>
          <t>Regression</t>
        </is>
      </c>
      <c r="G49" s="23" t="inlineStr">
        <is>
          <t>P3</t>
        </is>
      </c>
      <c r="H49" s="23" t="inlineStr">
        <is>
          <t>1. Đang thêm mới Nghiệp vụ (Cấp 1).</t>
        </is>
      </c>
      <c r="I49" s="23" t="inlineStr">
        <is>
          <t>1. Kiểm tra trường 'Cấp khai báo'.
2. Cố gắng thay đổi sang cấp khác (2, 3).</t>
        </is>
      </c>
      <c r="J49" s="23" t="inlineStr">
        <is>
          <t>(i) Logic: Đối với Nghiệp vụ, Cấp mặc định là 1 và không được thay đổi.
(ii) UI: Hiển thị giá trị 1 và không cho phép click chọn/đổi giá trị.
(iii) Trạng thái/Audit: N/A.
(iv) Khác: N/A</t>
        </is>
      </c>
      <c r="K49" s="23" t="inlineStr">
        <is>
          <t>BR Code: BR_07</t>
        </is>
      </c>
      <c r="L49" s="23" t="inlineStr">
        <is>
          <t>BR_07</t>
        </is>
      </c>
      <c r="M49" s="23" t="inlineStr">
        <is>
          <t>BR07-LEVEL-RO</t>
        </is>
      </c>
      <c r="N49" s="23" t="inlineStr">
        <is>
          <t>Bổ sung GAPs review.</t>
        </is>
      </c>
      <c r="O49" s="23" t="n"/>
      <c r="P49" s="23" t="n"/>
      <c r="Q49" s="23" t="n"/>
      <c r="R49" s="23" t="n"/>
      <c r="S49" s="23" t="n"/>
      <c r="T49" s="23" t="n"/>
      <c r="U49" s="23">
        <f>IF(R34&lt;&gt;"", R34, O34)</f>
        <v/>
      </c>
    </row>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sheetData>
  <mergeCells count="1">
    <mergeCell ref="A1:U1"/>
  </mergeCells>
  <conditionalFormatting sqref="U3:U985">
    <cfRule type="cellIs" priority="1" operator="equal" dxfId="1">
      <formula>"Pass"</formula>
    </cfRule>
    <cfRule type="cellIs" priority="2" operator="equal" dxfId="0">
      <formula>"Fail"</formula>
    </cfRule>
  </conditionalFormatting>
  <dataValidations count="2">
    <dataValidation sqref="O3:O42 R3:R42" showDropDown="0" showInputMessage="0" showErrorMessage="0" allowBlank="1" type="list">
      <formula1>"Pass,Fail,Doing,Blocked,N/A"</formula1>
    </dataValidation>
    <dataValidation sqref="P3:P42 S3:S42" showDropDown="0" showInputMessage="0" showErrorMessage="0" allowBlank="1" type="list">
      <formula1>"Định,Thanh,Vân Anh,Hiệp"</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U36"/>
  <sheetViews>
    <sheetView workbookViewId="0">
      <pane ySplit="2" topLeftCell="A3" activePane="bottomLeft" state="frozen"/>
      <selection pane="bottomLeft" activeCell="B4" sqref="B4"/>
    </sheetView>
  </sheetViews>
  <sheetFormatPr baseColWidth="10" defaultColWidth="14.5" defaultRowHeight="15" customHeight="1"/>
  <cols>
    <col width="14" customWidth="1" style="17" min="1" max="1"/>
    <col width="8" customWidth="1" style="17" min="2" max="3"/>
    <col width="22" customWidth="1" style="17" min="3" max="3"/>
    <col width="38" customWidth="1" style="17" min="4" max="4"/>
    <col hidden="1" width="12" customWidth="1" style="17" min="5" max="7"/>
    <col width="12" customWidth="1" style="17" min="6" max="6"/>
    <col width="9" customWidth="1" style="17" min="7" max="7"/>
    <col width="32" customWidth="1" style="17" min="8" max="10"/>
    <col width="42" customWidth="1" style="17" min="9" max="9"/>
    <col width="52" customWidth="1" style="17" min="10" max="10"/>
    <col width="22" customWidth="1" style="17" min="11" max="12"/>
    <col width="14" customWidth="1" style="17" min="12" max="12"/>
    <col width="14" customWidth="1" style="17" min="13" max="13"/>
    <col width="22" customWidth="1" style="17" min="14" max="14"/>
    <col width="12" customWidth="1" style="17" min="15" max="21"/>
    <col width="12" customWidth="1" style="17" min="16" max="16"/>
    <col width="12" customWidth="1" style="17" min="17" max="17"/>
    <col width="12" customWidth="1" style="17" min="18" max="18"/>
    <col width="12" customWidth="1" style="17" min="19" max="19"/>
    <col width="12" customWidth="1" style="17" min="20" max="20"/>
    <col width="12" customWidth="1" style="17" min="21" max="21"/>
    <col width="8.6640625" customWidth="1" style="17" min="22" max="26"/>
  </cols>
  <sheetData>
    <row r="1" ht="17" customHeight="1" s="17">
      <c r="A1" s="21" t="inlineStr">
        <is>
          <t xml:space="preserve">TEST CASES — II.5.1.1.3. Thêm mới Sản phẩm, </t>
        </is>
      </c>
    </row>
    <row r="2" ht="16" customHeight="1" s="17">
      <c r="A2" s="1" t="inlineStr">
        <is>
          <t>TC_ID</t>
        </is>
      </c>
      <c r="B2" s="1" t="inlineStr">
        <is>
          <t>Module</t>
        </is>
      </c>
      <c r="C2" s="1" t="inlineStr">
        <is>
          <t>Feature</t>
        </is>
      </c>
      <c r="D2" s="1" t="inlineStr">
        <is>
          <t>Title</t>
        </is>
      </c>
      <c r="E2" s="1" t="inlineStr">
        <is>
          <t>Type</t>
        </is>
      </c>
      <c r="F2" s="1" t="inlineStr">
        <is>
          <t>Category</t>
        </is>
      </c>
      <c r="G2" s="1" t="inlineStr">
        <is>
          <t>Priority</t>
        </is>
      </c>
      <c r="H2" s="1" t="inlineStr">
        <is>
          <t>Precondition</t>
        </is>
      </c>
      <c r="I2" s="1" t="inlineStr">
        <is>
          <t>Steps</t>
        </is>
      </c>
      <c r="J2" s="1" t="inlineStr">
        <is>
          <t>Expected</t>
        </is>
      </c>
      <c r="K2" s="1" t="inlineStr">
        <is>
          <t>URD_Ref</t>
        </is>
      </c>
      <c r="L2" s="1" t="inlineStr">
        <is>
          <t>BR_Ref</t>
        </is>
      </c>
      <c r="M2" s="1" t="inlineStr">
        <is>
          <t>Trace_ID</t>
        </is>
      </c>
      <c r="N2" s="1" t="inlineStr">
        <is>
          <t>Note</t>
        </is>
      </c>
      <c r="O2" s="1" t="inlineStr">
        <is>
          <t>Status R1</t>
        </is>
      </c>
      <c r="P2" s="1" t="inlineStr">
        <is>
          <t>Tester R1</t>
        </is>
      </c>
      <c r="Q2" s="1" t="inlineStr">
        <is>
          <t>Date R1</t>
        </is>
      </c>
      <c r="R2" s="1" t="inlineStr">
        <is>
          <t>Status R2</t>
        </is>
      </c>
      <c r="S2" s="1" t="inlineStr">
        <is>
          <t>Tester R2</t>
        </is>
      </c>
      <c r="T2" s="1" t="inlineStr">
        <is>
          <t>Date R2</t>
        </is>
      </c>
      <c r="U2" s="1" t="inlineStr">
        <is>
          <t>Final Status</t>
        </is>
      </c>
    </row>
    <row r="3" ht="64" customHeight="1" s="17">
      <c r="A3" s="23" t="inlineStr">
        <is>
          <t>PR01D-BR01-NEG-001</t>
        </is>
      </c>
      <c r="B3" s="23" t="inlineStr">
        <is>
          <t>PR01</t>
        </is>
      </c>
      <c r="C3" s="23" t="inlineStr">
        <is>
          <t>SPDV chi tiết - Thêm mới</t>
        </is>
      </c>
      <c r="D3" s="23" t="inlineStr">
        <is>
          <t>Thiếu trường bắt buộc khi thêm SPDV chi tiết → chặn lưu</t>
        </is>
      </c>
      <c r="E3" s="23" t="inlineStr">
        <is>
          <t>Negative</t>
        </is>
      </c>
      <c r="F3" s="23" t="inlineStr">
        <is>
          <t>Smoke</t>
        </is>
      </c>
      <c r="G3" s="23" t="inlineStr">
        <is>
          <t>P1</t>
        </is>
      </c>
      <c r="H3" s="23" t="inlineStr">
        <is>
          <t>1. Có NV (SPDV cấp đã duyệt Maker đăng nhập ngày T.</t>
        </is>
      </c>
      <c r="I3" s="23" t="inlineStr">
        <is>
          <t>1) Tại bản ghi NV cha → nhấn “+”;
2) Bỏ trống 1+ trường bắt buộc (*);
3) Nhấn “Xác nhận”</t>
        </is>
      </c>
      <c r="J3" s="23" t="inlineStr">
        <is>
          <t>(i) Logic: Thiếu mandatory → từ chối lưu.
(ii) UI: Highlight trường lỗi/toast lỗi; form không đóng.
(iii) OT.01: không sinh tác vụ.
(iv) Data: Không tạo bản ghi/audit.</t>
        </is>
      </c>
      <c r="K3" s="23" t="inlineStr">
        <is>
          <t>II.5.1.1.3/BR_01</t>
        </is>
      </c>
      <c r="L3" s="23" t="inlineStr">
        <is>
          <t>BR_01</t>
        </is>
      </c>
      <c r="M3" s="23" t="inlineStr">
        <is>
          <t>BR01-SPDV-REQ</t>
        </is>
      </c>
      <c r="N3" s="23" t="n"/>
      <c r="O3" s="23" t="n"/>
      <c r="P3" s="23" t="n"/>
      <c r="Q3" s="23" t="n"/>
      <c r="R3" s="23" t="n"/>
      <c r="S3" s="23" t="n"/>
      <c r="T3" s="23" t="n"/>
      <c r="U3" s="23">
        <f>IF(R3&lt;&gt;"", R3, O3)</f>
        <v/>
      </c>
    </row>
    <row r="4" ht="64" customHeight="1" s="17">
      <c r="A4" s="23" t="inlineStr">
        <is>
          <t>PR01D-BR02-NEG-002</t>
        </is>
      </c>
      <c r="B4" s="23" t="inlineStr">
        <is>
          <t>PR01</t>
        </is>
      </c>
      <c r="C4" s="23" t="inlineStr">
        <is>
          <t>SPDV chi tiết - Thêm mới</t>
        </is>
      </c>
      <c r="D4" s="23" t="inlineStr">
        <is>
          <t>Đóng/Hủy form Thêm SPDV chi tiết → không lưu dữ liệu</t>
        </is>
      </c>
      <c r="E4" s="23" t="inlineStr">
        <is>
          <t>Negative</t>
        </is>
      </c>
      <c r="F4" s="23" t="inlineStr">
        <is>
          <t>Regression</t>
        </is>
      </c>
      <c r="G4" s="23" t="inlineStr">
        <is>
          <t>P2</t>
        </is>
      </c>
      <c r="H4" s="23" t="inlineStr">
        <is>
          <t>1. Form Thêm SPDV chi tiết đang mở đã nhập vài trường.</t>
        </is>
      </c>
      <c r="I4" s="23" t="inlineStr">
        <is>
          <t>1) Nhập vài trường;
2) Nhấn “Đóng/Hủy”;
3) Xác nhận nếu có;
4) Về lưới tìm theo dữ liệu vừa nhập</t>
        </is>
      </c>
      <c r="J4" s="23" t="inlineStr">
        <is>
          <t>(i) Logic: Đóng/Hủy → không lưu.
(ii) UI: Form đóng, không có toast thành công.
(iii) OT.01: không áp dụng.
(iv) Data: Không phát sinh CREATE/audit.</t>
        </is>
      </c>
      <c r="K4" s="23" t="inlineStr">
        <is>
          <t>II.5.1.1.3/BR_02</t>
        </is>
      </c>
      <c r="L4" s="23" t="inlineStr">
        <is>
          <t>BR_02</t>
        </is>
      </c>
      <c r="M4" s="23" t="inlineStr">
        <is>
          <t>BR02-SPDV-CLOSE</t>
        </is>
      </c>
      <c r="N4" s="23" t="n"/>
      <c r="O4" s="23" t="n"/>
      <c r="P4" s="23" t="n"/>
      <c r="Q4" s="23" t="n"/>
      <c r="R4" s="23" t="n"/>
      <c r="S4" s="23" t="n"/>
      <c r="T4" s="23" t="n"/>
      <c r="U4" s="23">
        <f>IF(R4&lt;&gt;"", R4, O4)</f>
        <v/>
      </c>
    </row>
    <row r="5" ht="64" customHeight="1" s="17">
      <c r="A5" s="23" t="inlineStr">
        <is>
          <t>PR01D-BR03-HAPPY-003</t>
        </is>
      </c>
      <c r="B5" s="23" t="inlineStr">
        <is>
          <t>PR01</t>
        </is>
      </c>
      <c r="C5" s="23" t="inlineStr">
        <is>
          <t>SPDV chi tiết - Hiển thị danh sách</t>
        </is>
      </c>
      <c r="D5" s="23" t="inlineStr">
        <is>
          <t>Chỉ hiển thị bản ghi SPDV chi tiết đã được Checker phê duyệt</t>
        </is>
      </c>
      <c r="E5" s="23" t="inlineStr">
        <is>
          <t>Happy</t>
        </is>
      </c>
      <c r="F5" s="23" t="inlineStr">
        <is>
          <t>Smoke</t>
        </is>
      </c>
      <c r="G5" s="23" t="inlineStr">
        <is>
          <t>P1</t>
        </is>
      </c>
      <c r="H5" s="23" t="inlineStr">
        <is>
          <t>1. Có 1 SPDV chi tiết vừa tạo (Chờ duyệt).</t>
        </is>
      </c>
      <c r="I5" s="23" t="inlineStr">
        <is>
          <t>1) Về lưới Danh mục SPDV;
2) Lọc theo Tên/Mã SPDV chi tiết;
3) Duyệt tác vụ;
4) Refresh lưới</t>
        </is>
      </c>
      <c r="J5" s="23" t="inlineStr">
        <is>
          <t>(i) Logic: Pending → không hiển thị; sau duyệt → hiển thị.
(ii) UI: Lưới phản ánh đúng.
(iii) OT.01: Có tác vụ/APPROVE ghi nhận.
(iv) Data: Trạng thái chuyển ‘Đã duyệt’.</t>
        </is>
      </c>
      <c r="K5" s="23" t="inlineStr">
        <is>
          <t>II.5.1.1.3/BR_03</t>
        </is>
      </c>
      <c r="L5" s="23" t="inlineStr">
        <is>
          <t>BR_03</t>
        </is>
      </c>
      <c r="M5" s="23" t="inlineStr">
        <is>
          <t>BR03-SPDV-LIST-VIS</t>
        </is>
      </c>
      <c r="N5" s="23" t="n"/>
      <c r="O5" s="23" t="n"/>
      <c r="P5" s="23" t="n"/>
      <c r="Q5" s="23" t="n"/>
      <c r="R5" s="23" t="n"/>
      <c r="S5" s="23" t="n"/>
      <c r="T5" s="23" t="n"/>
      <c r="U5" s="23">
        <f>IF(R5&lt;&gt;"", R5, O5)</f>
        <v/>
      </c>
    </row>
    <row r="6" ht="64" customHeight="1" s="17">
      <c r="A6" s="23" t="inlineStr">
        <is>
          <t>PR01D-BR04-HAPPY-004</t>
        </is>
      </c>
      <c r="B6" s="23" t="inlineStr">
        <is>
          <t>PR01</t>
        </is>
      </c>
      <c r="C6" s="23" t="inlineStr">
        <is>
          <t>SPDV chi tiết - Auto code</t>
        </is>
      </c>
      <c r="D6" s="23" t="inlineStr">
        <is>
          <t>Mã SPDV chi tiết = [Mã cha] + 2 số tự tăng; duy nhất</t>
        </is>
      </c>
      <c r="E6" s="23" t="inlineStr">
        <is>
          <t>Happy</t>
        </is>
      </c>
      <c r="F6" s="23" t="inlineStr">
        <is>
          <t>Smoke</t>
        </is>
      </c>
      <c r="G6" s="23" t="inlineStr">
        <is>
          <t>P1</t>
        </is>
      </c>
      <c r="H6" s="23" t="inlineStr">
        <is>
          <t>1. NV cha mã 06 đã duyệt Maker đăng nhập.</t>
        </is>
      </c>
      <c r="I6" s="23" t="inlineStr">
        <is>
          <t>1) Tại 06 → bấm “+” tạo SPDV chi tiết A → “Xác nhận”;
2) Tạo tiếp SPDV chi tiết B → “Xác nhận”;
3) Mở chi tiết A/B xem trường Mã</t>
        </is>
      </c>
      <c r="J6" s="23" t="inlineStr">
        <is>
          <t>(i) Logic: Mã sinh 0601, 0602…; duy nhất.
(ii) UI: Trường Mã read‑only.
(iii) OT.01: Hai bản ghi ở ‘Chờ duyệt’.
(iv) Data: Audit CREATE có mã auto.</t>
        </is>
      </c>
      <c r="K6" s="23" t="inlineStr">
        <is>
          <t>II.5.1.1.3/BR_04; II.5.1.1.3/BR_05</t>
        </is>
      </c>
      <c r="L6" s="23" t="inlineStr">
        <is>
          <t>BR_04;BR_05</t>
        </is>
      </c>
      <c r="M6" s="23" t="inlineStr">
        <is>
          <t>BR04-SPDV-AUTOCODE</t>
        </is>
      </c>
      <c r="N6" s="23" t="n"/>
      <c r="O6" s="23" t="n"/>
      <c r="P6" s="23" t="n"/>
      <c r="Q6" s="23" t="n"/>
      <c r="R6" s="23" t="n"/>
      <c r="S6" s="23" t="n"/>
      <c r="T6" s="23" t="n"/>
      <c r="U6" s="23">
        <f>IF(R6&lt;&gt;"", R6, O6)</f>
        <v/>
      </c>
    </row>
    <row r="7" ht="64" customHeight="1" s="17">
      <c r="A7" s="23" t="inlineStr">
        <is>
          <t>PR01D-BR04-BOUND-005</t>
        </is>
      </c>
      <c r="B7" s="23" t="inlineStr">
        <is>
          <t>PR01</t>
        </is>
      </c>
      <c r="C7" s="23" t="inlineStr">
        <is>
          <t>SPDV chi tiết - Auto code</t>
        </is>
      </c>
      <c r="D7" s="23" t="inlineStr">
        <is>
          <t>Tạo bản ghi thứ 100 dưới cùng 1 cha
(…
0600) → vượt ngưỡng 99 → chặn</t>
        </is>
      </c>
      <c r="E7" s="23" t="inlineStr">
        <is>
          <t>Boundary</t>
        </is>
      </c>
      <c r="F7" s="23" t="inlineStr">
        <is>
          <t>Regression</t>
        </is>
      </c>
      <c r="G7" s="23" t="inlineStr">
        <is>
          <t>P2</t>
        </is>
      </c>
      <c r="H7" s="23" t="inlineStr">
        <is>
          <t>1. Dưới mã cha 06 đã có 99 bản chi tiết (0601.</t>
        </is>
      </c>
      <c r="I7" s="23" t="inlineStr">
        <is>
          <t>1) Thử tạo thêm bản chi tiết thứ 100;
2) “Xác nhận”</t>
        </is>
      </c>
      <c r="J7" s="23" t="inlineStr">
        <is>
          <t>(i) Logic: Không cấp mã &gt;99 → chặn.
(ii) UI: Thông báo rõ ngưỡng.
(iii) OT.01: không áp dụng.
(iv) Data: Không tạo bản ghi.</t>
        </is>
      </c>
      <c r="K7" s="23" t="inlineStr">
        <is>
          <t>II.5.1.1.3/BR_04</t>
        </is>
      </c>
      <c r="L7" s="23" t="inlineStr">
        <is>
          <t>BR_04</t>
        </is>
      </c>
      <c r="M7" s="23" t="inlineStr">
        <is>
          <t>BR04-SPDV-OVER99</t>
        </is>
      </c>
      <c r="N7" s="23" t="n"/>
      <c r="O7" s="23" t="n"/>
      <c r="P7" s="23" t="n"/>
      <c r="Q7" s="23" t="n"/>
      <c r="R7" s="23" t="n"/>
      <c r="S7" s="23" t="n"/>
      <c r="T7" s="23" t="n"/>
      <c r="U7" s="23">
        <f>IF(R7&lt;&gt;"", R7, O7)</f>
        <v/>
      </c>
    </row>
    <row r="8" ht="80" customHeight="1" s="17">
      <c r="A8" s="23" t="inlineStr">
        <is>
          <t>PR01D-BR05-HAPPY-006</t>
        </is>
      </c>
      <c r="B8" s="23" t="inlineStr">
        <is>
          <t>PR01</t>
        </is>
      </c>
      <c r="C8" s="23" t="inlineStr">
        <is>
          <t>SPDV chi tiết - Field control</t>
        </is>
      </c>
      <c r="D8" s="23" t="inlineStr">
        <is>
          <t>Trường Mã SPDV chi tiết không cho phép chỉnh sửa</t>
        </is>
      </c>
      <c r="E8" s="23" t="inlineStr">
        <is>
          <t>Happy</t>
        </is>
      </c>
      <c r="F8" s="23" t="inlineStr">
        <is>
          <t>Regression</t>
        </is>
      </c>
      <c r="G8" s="23" t="inlineStr">
        <is>
          <t>P3</t>
        </is>
      </c>
      <c r="H8" s="23" t="inlineStr">
        <is>
          <t>1. Có SPDV chi tiết trạng thái Chờ duyệt hoặc Đã duyệt.</t>
        </is>
      </c>
      <c r="I8" s="23" t="inlineStr">
        <is>
          <t>1) Mở chi tiết → “Sửa”;
2) Thử thay đổi trường Mã;
3) Lưu</t>
        </is>
      </c>
      <c r="J8" s="23" t="inlineStr">
        <is>
          <t>(i) Logic: Không cho sửa Mã.
(ii) UI: Ô Mã disabled/read‑only.
(iii) OT.01: Nếu chỉ sửa Mã → chặn; sửa trường khác → sinh tác vụ.
(iv) Data: Mã giữ nguyên.</t>
        </is>
      </c>
      <c r="K8" s="23" t="inlineStr">
        <is>
          <t>II.5.1.1.3/BR_05</t>
        </is>
      </c>
      <c r="L8" s="23" t="inlineStr">
        <is>
          <t>BR_05</t>
        </is>
      </c>
      <c r="M8" s="23" t="inlineStr">
        <is>
          <t>BR05-SPDV-CODE-RO</t>
        </is>
      </c>
      <c r="N8" s="23" t="n"/>
      <c r="O8" s="23" t="n"/>
      <c r="P8" s="23" t="n"/>
      <c r="Q8" s="23" t="n"/>
      <c r="R8" s="23" t="n"/>
      <c r="S8" s="23" t="n"/>
      <c r="T8" s="23" t="n"/>
      <c r="U8" s="23">
        <f>IF(R8&lt;&gt;"", R8, O8)</f>
        <v/>
      </c>
    </row>
    <row r="9" ht="64" customHeight="1" s="17">
      <c r="A9" s="23" t="inlineStr">
        <is>
          <t>PR01D-BR06-HAPPY-007</t>
        </is>
      </c>
      <c r="B9" s="23" t="inlineStr">
        <is>
          <t>PR01</t>
        </is>
      </c>
      <c r="C9" s="23" t="inlineStr">
        <is>
          <t>SPDV chi tiết - Ngữ cảnh cha</t>
        </is>
      </c>
      <c r="D9" s="23" t="inlineStr">
        <is>
          <t>“Cấp SPDV liền trước” hiển thị đúng “Mã - Tên” cấp cha khi bấm “+”</t>
        </is>
      </c>
      <c r="E9" s="23" t="inlineStr">
        <is>
          <t>Happy</t>
        </is>
      </c>
      <c r="F9" s="23" t="inlineStr">
        <is>
          <t>Regression</t>
        </is>
      </c>
      <c r="G9" s="23" t="inlineStr">
        <is>
          <t>P3</t>
        </is>
      </c>
      <c r="H9" s="23" t="inlineStr">
        <is>
          <t>1. Có bản ghi cha đã duyệt Maker đăng nhập.</t>
        </is>
      </c>
      <c r="I9" s="23" t="inlineStr">
        <is>
          <t>1) Ở bản ghi cha → bấm “+”;
2) Quan sát trường “Cấp SPDV liền trước”</t>
        </is>
      </c>
      <c r="J9" s="23" t="inlineStr">
        <is>
          <t>(i) Logic: Lấy đúng Mã‑Tên cha.
(ii) UI: Label hiển thị chính xác.
(iii) OT.01: không áp dụng.
(iv) Data: Không thay đổi.</t>
        </is>
      </c>
      <c r="K9" s="23" t="inlineStr">
        <is>
          <t>II.5.1.1.3/BR_06</t>
        </is>
      </c>
      <c r="L9" s="23" t="inlineStr">
        <is>
          <t>BR_06</t>
        </is>
      </c>
      <c r="M9" s="23" t="inlineStr">
        <is>
          <t>BR06-SPDV-PARENTCTX</t>
        </is>
      </c>
      <c r="N9" s="23" t="n"/>
      <c r="O9" s="23" t="n"/>
      <c r="P9" s="23" t="n"/>
      <c r="Q9" s="23" t="n"/>
      <c r="R9" s="23" t="n"/>
      <c r="S9" s="23" t="n"/>
      <c r="T9" s="23" t="n"/>
      <c r="U9" s="23">
        <f>IF(R9&lt;&gt;"", R9, O9)</f>
        <v/>
      </c>
    </row>
    <row r="10" ht="64" customHeight="1" s="17">
      <c r="A10" s="23" t="inlineStr">
        <is>
          <t>PR01D-BR07-BOUND-008</t>
        </is>
      </c>
      <c r="B10" s="23" t="inlineStr">
        <is>
          <t>PR01</t>
        </is>
      </c>
      <c r="C10" s="23" t="inlineStr">
        <is>
          <t>SPDV chi tiết - Giới hạn cấp</t>
        </is>
      </c>
      <c r="D10" s="23" t="inlineStr">
        <is>
          <t>Không cho phép tạo cấp vượt PRODUCT_LEVEL</t>
        </is>
      </c>
      <c r="E10" s="23" t="inlineStr">
        <is>
          <t>Boundary</t>
        </is>
      </c>
      <c r="F10" s="23" t="inlineStr">
        <is>
          <t>Regression</t>
        </is>
      </c>
      <c r="G10" s="23" t="inlineStr">
        <is>
          <t>P2</t>
        </is>
      </c>
      <c r="H10" s="23" t="inlineStr">
        <is>
          <t>1. PRODUCT_LEVEL = n (vd n=5) cây đang ở cấp n.</t>
        </is>
      </c>
      <c r="I10" s="23" t="inlineStr">
        <is>
          <t>1) Ở cấp n → bấm “+”;
2) Quan sát cảnh báo;
3) Thử ‘Xác nhận’</t>
        </is>
      </c>
      <c r="J10" s="23" t="inlineStr">
        <is>
          <t>(i) Logic: Vượt cấp tối đa → chặn.
(ii) UI: Vùng thêm con disabled/hiển thị cảnh báo.
(iii) OT.01: không áp dụng.
(iv) Data: Không tạo.</t>
        </is>
      </c>
      <c r="K10" s="23" t="inlineStr">
        <is>
          <t>II.5.1.1.3/BR_07; II.5.1.1.3/BR_10</t>
        </is>
      </c>
      <c r="L10" s="23" t="inlineStr">
        <is>
          <t>BR_07;BR_10</t>
        </is>
      </c>
      <c r="M10" s="23" t="inlineStr">
        <is>
          <t>BR07-SPDV-MAXLEVEL</t>
        </is>
      </c>
      <c r="N10" s="23" t="n"/>
      <c r="O10" s="23" t="n"/>
      <c r="P10" s="23" t="n"/>
      <c r="Q10" s="23" t="n"/>
      <c r="R10" s="23" t="n"/>
      <c r="S10" s="23" t="n"/>
      <c r="T10" s="23" t="n"/>
      <c r="U10" s="23">
        <f>IF(R10&lt;&gt;"", R10, O10)</f>
        <v/>
      </c>
    </row>
    <row r="11" ht="64" customHeight="1" s="17">
      <c r="A11" s="23" t="inlineStr">
        <is>
          <t>PR01D-BR08-NEG-009</t>
        </is>
      </c>
      <c r="B11" s="23" t="inlineStr">
        <is>
          <t>PR01</t>
        </is>
      </c>
      <c r="C11" s="23" t="inlineStr">
        <is>
          <t>SPDV chi tiết - Quan hệ cha</t>
        </is>
      </c>
      <c r="D11" s="23" t="inlineStr">
        <is>
          <t>Bắt buộc khai báo đủ n−1 cấp cha trước khi khai báo cấp cuối n</t>
        </is>
      </c>
      <c r="E11" s="23" t="inlineStr">
        <is>
          <t>Negative</t>
        </is>
      </c>
      <c r="F11" s="23" t="inlineStr">
        <is>
          <t>Smoke</t>
        </is>
      </c>
      <c r="G11" s="23" t="inlineStr">
        <is>
          <t>P1</t>
        </is>
      </c>
      <c r="H11" s="23" t="inlineStr">
        <is>
          <t>1. PRODUCT_LEVEL=n còn thiếu 1 cấp cha ở giữa.</t>
        </is>
      </c>
      <c r="I11" s="23" t="inlineStr">
        <is>
          <t>1) Cố tạo SPDV cấp n khi thiếu cấp cha;
2) Nhấn “Xác nhận”</t>
        </is>
      </c>
      <c r="J11" s="23" t="inlineStr">
        <is>
          <t>(i) Logic: Thiếu cấp cha → chặn.
(ii) UI: Nêu rõ cấp thiếu.
(iii) OT.01: không áp dụng.
(iv) Data: Không tạo.</t>
        </is>
      </c>
      <c r="K11" s="23" t="inlineStr">
        <is>
          <t>II.5.1.1.3/BR_08</t>
        </is>
      </c>
      <c r="L11" s="23" t="inlineStr">
        <is>
          <t>BR_08</t>
        </is>
      </c>
      <c r="M11" s="23" t="inlineStr">
        <is>
          <t>BR08-SPDV-MISS-PARENT</t>
        </is>
      </c>
      <c r="N11" s="23" t="n"/>
      <c r="O11" s="23" t="n"/>
      <c r="P11" s="23" t="n"/>
      <c r="Q11" s="23" t="n"/>
      <c r="R11" s="23" t="n"/>
      <c r="S11" s="23" t="n"/>
      <c r="T11" s="23" t="n"/>
      <c r="U11" s="23">
        <f>IF(R11&lt;&gt;"", R11, O11)</f>
        <v/>
      </c>
    </row>
    <row r="12" ht="64" customHeight="1" s="17">
      <c r="A12" s="23" t="inlineStr">
        <is>
          <t>PR01D-BR09-HAPPY-010</t>
        </is>
      </c>
      <c r="B12" s="23" t="inlineStr">
        <is>
          <t>PR01</t>
        </is>
      </c>
      <c r="C12" s="23" t="inlineStr">
        <is>
          <t>SPDV chi tiết - Cảnh báo cấp cuối</t>
        </is>
      </c>
      <c r="D12" s="23" t="inlineStr">
        <is>
          <t>Hiển thị nhãn “Đây là cấp cuối cùng…” khi khai báo cấp n</t>
        </is>
      </c>
      <c r="E12" s="23" t="inlineStr">
        <is>
          <t>Happy</t>
        </is>
      </c>
      <c r="F12" s="23" t="inlineStr">
        <is>
          <t>Regression</t>
        </is>
      </c>
      <c r="G12" s="23" t="inlineStr">
        <is>
          <t>P3</t>
        </is>
      </c>
      <c r="H12" s="23" t="inlineStr">
        <is>
          <t>1. Đang thao tác ở cấp n.</t>
        </is>
      </c>
      <c r="I12" s="23" t="inlineStr">
        <is>
          <t>1) Mở form ở cấp n;
2) Quan sát thông tin cảnh báo cấp cuối</t>
        </is>
      </c>
      <c r="J12" s="23" t="inlineStr">
        <is>
          <t>(i) Logic: Hệ thống hiển thị đúng thông điệp.
(ii) UI: Text cảnh báo hiển thị.
(iii) OT.01: không áp dụng.
(iv) Data: Không đổi.</t>
        </is>
      </c>
      <c r="K12" s="23" t="inlineStr">
        <is>
          <t>II.5.1.1.3/BR_09</t>
        </is>
      </c>
      <c r="L12" s="23" t="inlineStr">
        <is>
          <t>BR_09</t>
        </is>
      </c>
      <c r="M12" s="23" t="inlineStr">
        <is>
          <t>BR09-SPDV-LASTLEVEL</t>
        </is>
      </c>
      <c r="N12" s="23" t="n"/>
      <c r="O12" s="23" t="n"/>
      <c r="P12" s="23" t="n"/>
      <c r="Q12" s="23" t="n"/>
      <c r="R12" s="23" t="n"/>
      <c r="S12" s="23" t="n"/>
      <c r="T12" s="23" t="n"/>
      <c r="U12" s="23">
        <f>IF(R12&lt;&gt;"", R12, O12)</f>
        <v/>
      </c>
    </row>
    <row r="13" ht="64" customHeight="1" s="17">
      <c r="A13" s="23" t="inlineStr">
        <is>
          <t>PR01D-BR10-NEG-011</t>
        </is>
      </c>
      <c r="B13" s="23" t="inlineStr">
        <is>
          <t>PR01</t>
        </is>
      </c>
      <c r="C13" s="23" t="inlineStr">
        <is>
          <t>SPDV chi tiết - Cấm thêm con ở cấp cuối</t>
        </is>
      </c>
      <c r="D13" s="23" t="inlineStr">
        <is>
          <t>Tại bản ghi cấp n không thể thêm mới SPDV cấp con</t>
        </is>
      </c>
      <c r="E13" s="23" t="inlineStr">
        <is>
          <t>Negative</t>
        </is>
      </c>
      <c r="F13" s="23" t="inlineStr">
        <is>
          <t>Regression</t>
        </is>
      </c>
      <c r="G13" s="23" t="inlineStr">
        <is>
          <t>P2</t>
        </is>
      </c>
      <c r="H13" s="23" t="inlineStr">
        <is>
          <t>1. Có SPDV cấp n Maker đăng nhập.</t>
        </is>
      </c>
      <c r="I13" s="23" t="inlineStr">
        <is>
          <t>1) Vào bản ghi cấp n;
2) Kiểm tra sự hiện diện/enable của nút “+”</t>
        </is>
      </c>
      <c r="J13" s="23" t="inlineStr">
        <is>
          <t>(i) Logic: Không cho phép thêm con tại cấp n.
(ii) UI: Nút “+” ẩn/disabled.
(iii) OT.01: không áp dụng.
(iv) Data: Không phát sinh bản ghi.</t>
        </is>
      </c>
      <c r="K13" s="23" t="inlineStr">
        <is>
          <t>II.5.1.1.3/BR_10</t>
        </is>
      </c>
      <c r="L13" s="23" t="inlineStr">
        <is>
          <t>BR_10</t>
        </is>
      </c>
      <c r="M13" s="23" t="inlineStr">
        <is>
          <t>BR10-SPDV-NO-CHILD</t>
        </is>
      </c>
      <c r="N13" s="23" t="n"/>
      <c r="O13" s="23" t="n"/>
      <c r="P13" s="23" t="n"/>
      <c r="Q13" s="23" t="n"/>
      <c r="R13" s="23" t="n"/>
      <c r="S13" s="23" t="n"/>
      <c r="T13" s="23" t="n"/>
      <c r="U13" s="23">
        <f>IF(R13&lt;&gt;"", R13, O13)</f>
        <v/>
      </c>
    </row>
    <row r="14" ht="64" customHeight="1" s="17">
      <c r="A14" s="23" t="inlineStr">
        <is>
          <t>PR01D-BR11-NEG-012</t>
        </is>
      </c>
      <c r="B14" s="23" t="inlineStr">
        <is>
          <t>PR01</t>
        </is>
      </c>
      <c r="C14" s="23" t="inlineStr">
        <is>
          <t>SPDV chi tiết - Hiệu lực</t>
        </is>
      </c>
      <c r="D14" s="23" t="inlineStr">
        <is>
          <t>Ngày hiệu lực hoặc Ngày hết hiệu lực ở quá khứ → chặn</t>
        </is>
      </c>
      <c r="E14" s="23" t="inlineStr">
        <is>
          <t>Negative</t>
        </is>
      </c>
      <c r="F14" s="23" t="inlineStr">
        <is>
          <t>Smoke</t>
        </is>
      </c>
      <c r="G14" s="23" t="inlineStr">
        <is>
          <t>P1</t>
        </is>
      </c>
      <c r="H14" s="23" t="inlineStr">
        <is>
          <t>1. Form Thêm mới SPDV chi tiết mở ngày T.</t>
        </is>
      </c>
      <c r="I14" s="23" t="inlineStr">
        <is>
          <t>1) Đặt Ngày hiệu lực &lt; T → “Xác nhận”;
2) Đặt Ngày hết hiệu lực &lt; T → “Xác nhận”</t>
        </is>
      </c>
      <c r="J14" s="23" t="inlineStr">
        <is>
          <t>(i) Logic: Không cho ngày quá khứ.
(ii) UI: Lỗi tại trường ngày.
(iii) OT.01: không áp dụng.
(iv) Data: Không lưu.</t>
        </is>
      </c>
      <c r="K14" s="23" t="inlineStr">
        <is>
          <t>II.5.1.1.3/BR_11</t>
        </is>
      </c>
      <c r="L14" s="23" t="inlineStr">
        <is>
          <t>BR_11</t>
        </is>
      </c>
      <c r="M14" s="23" t="inlineStr">
        <is>
          <t>BR11-SPDV-DATEPAST</t>
        </is>
      </c>
      <c r="N14" s="23" t="n"/>
      <c r="O14" s="23" t="n"/>
      <c r="P14" s="23" t="n"/>
      <c r="Q14" s="23" t="n"/>
      <c r="R14" s="23" t="n"/>
      <c r="S14" s="23" t="n"/>
      <c r="T14" s="23" t="n"/>
      <c r="U14" s="23">
        <f>IF(R14&lt;&gt;"", R14, O14)</f>
        <v/>
      </c>
    </row>
    <row r="15" ht="80" customHeight="1" s="17">
      <c r="A15" s="23" t="inlineStr">
        <is>
          <t>PR01D-BR12-HAPPY-013</t>
        </is>
      </c>
      <c r="B15" s="23" t="inlineStr">
        <is>
          <t>PR01</t>
        </is>
      </c>
      <c r="C15" s="23" t="inlineStr">
        <is>
          <t>SPDV chi tiết - Trạng thái theo ngày</t>
        </is>
      </c>
      <c r="D15" s="23" t="inlineStr">
        <is>
          <t>Trạng thái hoạt động theo Ngày hiệu lực (T=Đang; &gt;T=Chưa)</t>
        </is>
      </c>
      <c r="E15" s="23" t="inlineStr">
        <is>
          <t>Happy</t>
        </is>
      </c>
      <c r="F15" s="23" t="inlineStr">
        <is>
          <t>Regression</t>
        </is>
      </c>
      <c r="G15" s="23" t="inlineStr">
        <is>
          <t>P2</t>
        </is>
      </c>
      <c r="H15" s="23" t="inlineStr">
        <is>
          <t>1. Tạo 2 SPDV chi tiết: A hiệu lực = T B hiệu lực &gt; T.</t>
        </is>
      </c>
      <c r="I15" s="23" t="inlineStr">
        <is>
          <t>1) Lưu A &amp; B;
2) Checker duyệt;
3) Mở chi tiết kiểm tra trạng thái</t>
        </is>
      </c>
      <c r="J15" s="23" t="inlineStr">
        <is>
          <t>(i) Logic: A=Đang hoạt động; B=Chưa hoạt động; cập nhật tự động sau duyệt.
(ii) UI: Trạng thái hiển thị đúng.
(iii) OT.01: APPROVE ghi nhận.
(iv) Data: Audit đúng.</t>
        </is>
      </c>
      <c r="K15" s="23" t="inlineStr">
        <is>
          <t>II.5.1.1.3/BR_12</t>
        </is>
      </c>
      <c r="L15" s="23" t="inlineStr">
        <is>
          <t>BR_12</t>
        </is>
      </c>
      <c r="M15" s="23" t="inlineStr">
        <is>
          <t>BR12-SPDV-STATUS</t>
        </is>
      </c>
      <c r="N15" s="23" t="n"/>
      <c r="O15" s="23" t="n"/>
      <c r="P15" s="23" t="n"/>
      <c r="Q15" s="23" t="n"/>
      <c r="R15" s="23" t="n"/>
      <c r="S15" s="23" t="n"/>
      <c r="T15" s="23" t="n"/>
      <c r="U15" s="23">
        <f>IF(R15&lt;&gt;"", R15, O15)</f>
        <v/>
      </c>
    </row>
    <row r="16" ht="64" customHeight="1" s="17">
      <c r="A16" s="23" t="inlineStr">
        <is>
          <t>PR01D-BR13-NEG-014</t>
        </is>
      </c>
      <c r="B16" s="23" t="inlineStr">
        <is>
          <t>PR01</t>
        </is>
      </c>
      <c r="C16" s="23" t="inlineStr">
        <is>
          <t>SPDV chi tiết - Quan hệ hiệu lực</t>
        </is>
      </c>
      <c r="D16" s="23" t="inlineStr">
        <is>
          <t>Hiệu lực con phải nằm trong khoảng hiệu lực cha → vi phạm bị chặn</t>
        </is>
      </c>
      <c r="E16" s="23" t="inlineStr">
        <is>
          <t>Negative</t>
        </is>
      </c>
      <c r="F16" s="23" t="inlineStr">
        <is>
          <t>Smoke</t>
        </is>
      </c>
      <c r="G16" s="23" t="inlineStr">
        <is>
          <t>P1</t>
        </is>
      </c>
      <c r="H16" s="23" t="inlineStr">
        <is>
          <t>1. Cha hiệu lực [T1–T2] Maker đăng nhập.</t>
        </is>
      </c>
      <c r="I16" s="23" t="inlineStr">
        <is>
          <t>1) Tạo con với [T1' &lt; T1] hoặc [T2' &gt; T2];
2) “Xác nhận”</t>
        </is>
      </c>
      <c r="J16" s="23" t="inlineStr">
        <is>
          <t>(i) Logic: Con vượt ngoài cha → từ chối.
(ii) UI: Thông báo nêu rõ quan hệ cha–con.
(iii) OT.01: không áp dụng.
(iv) Data: Không lưu.</t>
        </is>
      </c>
      <c r="K16" s="23" t="inlineStr">
        <is>
          <t>II.5.1.1.3/BR_13</t>
        </is>
      </c>
      <c r="L16" s="23" t="inlineStr">
        <is>
          <t>BR_13</t>
        </is>
      </c>
      <c r="M16" s="23" t="inlineStr">
        <is>
          <t>BR13-SPDV-CHILD-INHERIT</t>
        </is>
      </c>
      <c r="N16" s="23" t="n"/>
      <c r="O16" s="23" t="n"/>
      <c r="P16" s="23" t="n"/>
      <c r="Q16" s="23" t="n"/>
      <c r="R16" s="23" t="n"/>
      <c r="S16" s="23" t="n"/>
      <c r="T16" s="23" t="n"/>
      <c r="U16" s="23">
        <f>IF(R16&lt;&gt;"", R16, O16)</f>
        <v/>
      </c>
    </row>
    <row r="17" ht="80" customHeight="1" s="17">
      <c r="A17" s="23" t="inlineStr">
        <is>
          <t>PR01D-BR14-HAPPY-015</t>
        </is>
      </c>
      <c r="B17" s="23" t="inlineStr">
        <is>
          <t>PR01</t>
        </is>
      </c>
      <c r="C17" s="23" t="inlineStr">
        <is>
          <t>SPDV chi tiết - Đổi trạng thái</t>
        </is>
      </c>
      <c r="D17" s="23" t="inlineStr">
        <is>
          <t>Đổi trạng thái qua cập nhật “Ngày hết hiệu lực” (Versioning C)</t>
        </is>
      </c>
      <c r="E17" s="23" t="inlineStr">
        <is>
          <t>Happy</t>
        </is>
      </c>
      <c r="F17" s="23" t="inlineStr">
        <is>
          <t>Regression</t>
        </is>
      </c>
      <c r="G17" s="23" t="inlineStr">
        <is>
          <t>P2</t>
        </is>
      </c>
      <c r="H17" s="23" t="inlineStr">
        <is>
          <t>1. Có SPDV chi tiết đang Đang hoạt động Maker có quyền sửa.</t>
        </is>
      </c>
      <c r="I17" s="23" t="inlineStr">
        <is>
          <t>1) Mở chi tiết → “Sửa”;
2) Đặt Ngày hết hiệu lực = T;
3) “Xác nhận” (sinh tác vụ);
4) Checker duyệt;
5) Kiểm tra trạng thái</t>
        </is>
      </c>
      <c r="J17" s="23" t="inlineStr">
        <is>
          <t>(i) Logic: Update in‑place; hết hiệu lực → Ngưng hoạt động; có thể đổi ngược bằng hiệu lực mới.
(ii) UI: Trạng thái đổi sau duyệt.
(iii) OT.01: UPDATE + APPROVE.
(iv) Data: Không tạo version record mới.</t>
        </is>
      </c>
      <c r="K17" s="23" t="inlineStr">
        <is>
          <t>II.5.1.1.3/BR_14</t>
        </is>
      </c>
      <c r="L17" s="23" t="inlineStr">
        <is>
          <t>BR_14</t>
        </is>
      </c>
      <c r="M17" s="23" t="inlineStr">
        <is>
          <t>BR14-SPDV-STATE-CHANGE</t>
        </is>
      </c>
      <c r="N17" s="23" t="inlineStr">
        <is>
          <t>Theo bối cảnh: Versioning C</t>
        </is>
      </c>
      <c r="O17" s="23" t="n"/>
      <c r="P17" s="23" t="n"/>
      <c r="Q17" s="23" t="n"/>
      <c r="R17" s="23" t="n"/>
      <c r="S17" s="23" t="n"/>
      <c r="T17" s="23" t="n"/>
      <c r="U17" s="23">
        <f>IF(R17&lt;&gt;"", R17, O17)</f>
        <v/>
      </c>
    </row>
    <row r="18" ht="80" customHeight="1" s="17">
      <c r="A18" s="23" t="inlineStr">
        <is>
          <t>PR01D-BR15-HAPPY-016</t>
        </is>
      </c>
      <c r="B18" s="23" t="inlineStr">
        <is>
          <t>PR01</t>
        </is>
      </c>
      <c r="C18" s="23" t="inlineStr">
        <is>
          <t>SPDV chi tiết - Hiển thị</t>
        </is>
      </c>
      <c r="D18" s="23" t="inlineStr">
        <is>
          <t>Chưa duyệt không hiển thị trên lưới Danh mục SPDV</t>
        </is>
      </c>
      <c r="E18" s="23" t="inlineStr">
        <is>
          <t>Happy</t>
        </is>
      </c>
      <c r="F18" s="23" t="inlineStr">
        <is>
          <t>Smoke</t>
        </is>
      </c>
      <c r="G18" s="23" t="inlineStr">
        <is>
          <t>P1</t>
        </is>
      </c>
      <c r="H18" s="23" t="inlineStr">
        <is>
          <t>1. Vừa tạo SPDV chi tiết trạng thái Chờ duyệt.</t>
        </is>
      </c>
      <c r="I18" s="23" t="inlineStr">
        <is>
          <t>1) Về lưới Danh mục SPDV;
2) Lọc theo Tên/Mã vừa tạo</t>
        </is>
      </c>
      <c r="J18" s="23" t="inlineStr">
        <is>
          <t>(i) Logic: Pending → không hiển thị.
(ii) UI: Không có kết quả.
(iii) OT.01: Có tác vụ chờ duyệt.
(iv) Data: Trạng thái Chờ duyệt lưu DB.</t>
        </is>
      </c>
      <c r="K18" s="23" t="inlineStr">
        <is>
          <t>II.5.1.1.3/BR_15; II.5.1.1.3/BR_16</t>
        </is>
      </c>
      <c r="L18" s="23" t="inlineStr">
        <is>
          <t>BR_15;BR_16</t>
        </is>
      </c>
      <c r="M18" s="23" t="inlineStr">
        <is>
          <t>BR15-SPDV-NOTSHOW</t>
        </is>
      </c>
      <c r="N18" s="23" t="n"/>
      <c r="O18" s="23" t="n"/>
      <c r="P18" s="23" t="n"/>
      <c r="Q18" s="23" t="n"/>
      <c r="R18" s="23" t="n"/>
      <c r="S18" s="23" t="n"/>
      <c r="T18" s="23" t="n"/>
      <c r="U18" s="23">
        <f>IF(R18&lt;&gt;"", R18, O18)</f>
        <v/>
      </c>
    </row>
    <row r="19" ht="64" customHeight="1" s="17">
      <c r="A19" s="23" t="inlineStr">
        <is>
          <t>PR01D-BR16-HAPPY-017</t>
        </is>
      </c>
      <c r="B19" s="23" t="inlineStr">
        <is>
          <t>PR01</t>
        </is>
      </c>
      <c r="C19" s="23" t="inlineStr">
        <is>
          <t>SPDV chi tiết - Tác vụ</t>
        </is>
      </c>
      <c r="D19" s="23" t="inlineStr">
        <is>
          <t>Sau khi lưu → sinh tác vụ “Chờ duyệt”</t>
        </is>
      </c>
      <c r="E19" s="23" t="inlineStr">
        <is>
          <t>Happy</t>
        </is>
      </c>
      <c r="F19" s="23" t="inlineStr">
        <is>
          <t>Smoke</t>
        </is>
      </c>
      <c r="G19" s="23" t="inlineStr">
        <is>
          <t>P1</t>
        </is>
      </c>
      <c r="H19" s="23" t="inlineStr">
        <is>
          <t>1. Vừa lưu SPDV chi tiết.</t>
        </is>
      </c>
      <c r="I19" s="23" t="inlineStr">
        <is>
          <t>1) Mở “Tác vụ chờ duyệt”;
2) Tìm theo Mã/Tên SPDV chi tiết</t>
        </is>
      </c>
      <c r="J19" s="23" t="inlineStr">
        <is>
          <t>(i) Logic: Tác vụ phải tồn tại.
(ii) UI: Hàng tác vụ xuất hiện; có nút Duyệt/Từ chối theo vai.
(iii) OT.01: Ghi nhận tạo tác vụ.
(iv) Data: Audit TASK.</t>
        </is>
      </c>
      <c r="K19" s="23" t="inlineStr">
        <is>
          <t>II.5.1.1.3/BR_16</t>
        </is>
      </c>
      <c r="L19" s="23" t="inlineStr">
        <is>
          <t>BR_16</t>
        </is>
      </c>
      <c r="M19" s="23" t="inlineStr">
        <is>
          <t>BR16-SPDV-TASK</t>
        </is>
      </c>
      <c r="N19" s="23" t="n"/>
      <c r="O19" s="23" t="n"/>
      <c r="P19" s="23" t="n"/>
      <c r="Q19" s="23" t="n"/>
      <c r="R19" s="23" t="n"/>
      <c r="S19" s="23" t="n"/>
      <c r="T19" s="23" t="n"/>
      <c r="U19" s="23">
        <f>IF(R19&lt;&gt;"", R19, O19)</f>
        <v/>
      </c>
    </row>
    <row r="20" ht="64" customHeight="1" s="17">
      <c r="A20" s="23" t="inlineStr">
        <is>
          <t>PR01D-BR17-HAPPY-018</t>
        </is>
      </c>
      <c r="B20" s="23" t="inlineStr">
        <is>
          <t>PR01</t>
        </is>
      </c>
      <c r="C20" s="23" t="inlineStr">
        <is>
          <t>SPDV chi tiết - Metadata</t>
        </is>
      </c>
      <c r="D20" s="23" t="inlineStr">
        <is>
          <t>“Ngày tạo” tự sinh đúng định dạng</t>
        </is>
      </c>
      <c r="E20" s="23" t="inlineStr">
        <is>
          <t>Happy</t>
        </is>
      </c>
      <c r="F20" s="23" t="inlineStr">
        <is>
          <t>Regression</t>
        </is>
      </c>
      <c r="G20" s="23" t="inlineStr">
        <is>
          <t>P3</t>
        </is>
      </c>
      <c r="H20" s="23" t="inlineStr">
        <is>
          <t>1. Có SPDV chi tiết vừa tạo.</t>
        </is>
      </c>
      <c r="I20" s="23" t="inlineStr">
        <is>
          <t>1) Mở chi tiết;
2) Quan sát ‘Ngày tạo’</t>
        </is>
      </c>
      <c r="J20" s="23" t="inlineStr">
        <is>
          <t>(i) Logic: Hệ thống tự sinh theo chuẩn.
(ii) UI: YYYY‑MM‑DD HH:MM:SS.
(iii) OT.01: không áp dụng.
(iv) Data: Audit time khớp.</t>
        </is>
      </c>
      <c r="K20" s="23" t="inlineStr">
        <is>
          <t>II.5.1.1.3/BR_17</t>
        </is>
      </c>
      <c r="L20" s="23" t="inlineStr">
        <is>
          <t>BR_17</t>
        </is>
      </c>
      <c r="M20" s="23" t="inlineStr">
        <is>
          <t>BR17-SPDV-CREATEDAT</t>
        </is>
      </c>
      <c r="N20" s="23" t="n"/>
      <c r="O20" s="23" t="n"/>
      <c r="P20" s="23" t="n"/>
      <c r="Q20" s="23" t="n"/>
      <c r="R20" s="23" t="n"/>
      <c r="S20" s="23" t="n"/>
      <c r="T20" s="23" t="n"/>
      <c r="U20" s="23">
        <f>IF(R20&lt;&gt;"", R20, O20)</f>
        <v/>
      </c>
    </row>
    <row r="21" ht="15.75" customHeight="1" s="17">
      <c r="A21" s="23" t="inlineStr">
        <is>
          <t>PR01D-BR18-HAPPY-019</t>
        </is>
      </c>
      <c r="B21" s="23" t="inlineStr">
        <is>
          <t>PR01</t>
        </is>
      </c>
      <c r="C21" s="23" t="inlineStr">
        <is>
          <t>SPDV chi tiết - Metadata</t>
        </is>
      </c>
      <c r="D21" s="23" t="inlineStr">
        <is>
          <t>“Người tạo” = username Maker</t>
        </is>
      </c>
      <c r="E21" s="23" t="inlineStr">
        <is>
          <t>Happy</t>
        </is>
      </c>
      <c r="F21" s="23" t="inlineStr">
        <is>
          <t>Regression</t>
        </is>
      </c>
      <c r="G21" s="23" t="inlineStr">
        <is>
          <t>P3</t>
        </is>
      </c>
      <c r="H21" s="23" t="inlineStr">
        <is>
          <t>1. Có SPDV chi tiết do Maker tạo.</t>
        </is>
      </c>
      <c r="I21" s="23" t="inlineStr">
        <is>
          <t>1) Mở chi tiết;
2) Quan sát ‘Người tạo’</t>
        </is>
      </c>
      <c r="J21" s="23" t="inlineStr">
        <is>
          <t>(i) Logic: Lưu đúng username.
(ii) UI: Hiển thị chính xác.
(iii) OT.01: không áp dụng.
(iv) Data: Audit CREATE ghi user.</t>
        </is>
      </c>
      <c r="K21" s="23" t="inlineStr">
        <is>
          <t>II.5.1.1.3/BR_18</t>
        </is>
      </c>
      <c r="L21" s="23" t="inlineStr">
        <is>
          <t>BR_18</t>
        </is>
      </c>
      <c r="M21" s="23" t="inlineStr">
        <is>
          <t>BR18-SPDV-CREATEDBY</t>
        </is>
      </c>
      <c r="N21" s="23" t="n"/>
      <c r="O21" s="23" t="n"/>
      <c r="P21" s="23" t="n"/>
      <c r="Q21" s="23" t="n"/>
      <c r="R21" s="23" t="n"/>
      <c r="S21" s="23" t="n"/>
      <c r="T21" s="23" t="n"/>
      <c r="U21" s="23">
        <f>IF(R21&lt;&gt;"", R21, O21)</f>
        <v/>
      </c>
    </row>
    <row r="22" ht="15.75" customHeight="1" s="17">
      <c r="A22" s="23" t="inlineStr">
        <is>
          <t>PR01D-FLOW-OT01-HAPPY-020</t>
        </is>
      </c>
      <c r="B22" s="23" t="inlineStr">
        <is>
          <t>PR01</t>
        </is>
      </c>
      <c r="C22" s="23" t="inlineStr">
        <is>
          <t>SPDV chi tiết - OT.01 Phê duyệt</t>
        </is>
      </c>
      <c r="D22" s="23" t="inlineStr">
        <is>
          <t>Checker phê duyệt → bản ghi hiển thị trên lưới và khả dụng</t>
        </is>
      </c>
      <c r="E22" s="23" t="inlineStr">
        <is>
          <t>Happy</t>
        </is>
      </c>
      <c r="F22" s="23" t="inlineStr">
        <is>
          <t>Smoke</t>
        </is>
      </c>
      <c r="G22" s="23" t="inlineStr">
        <is>
          <t>P1</t>
        </is>
      </c>
      <c r="H22" s="23" t="inlineStr">
        <is>
          <t>1. Có 1 SPDV chi tiết ở Chờ duyệt.</t>
        </is>
      </c>
      <c r="I22" s="23" t="inlineStr">
        <is>
          <t>1) Checker mở ‘Tác vụ chờ duyệt’;
2) Mở tác vụ → “Duyệt”;
3) Về lưới kiểm tra</t>
        </is>
      </c>
      <c r="J22" s="23" t="inlineStr">
        <is>
          <t>(i) Logic: Trạng thái chuyển ‘Đã duyệt’, bản ghi khả dụng.
(ii) UI: Lưới hiển thị bản ghi.
(iii) OT.01: Audit APPROVE (user, timestamp).
(iv) Data: Lưu trạng thái &amp; log.</t>
        </is>
      </c>
      <c r="K22" s="23" t="inlineStr">
        <is>
          <t>II.5.1.1.3/BR_16</t>
        </is>
      </c>
      <c r="L22" s="23" t="inlineStr">
        <is>
          <t>BR_16</t>
        </is>
      </c>
      <c r="M22" s="23" t="inlineStr">
        <is>
          <t>FLOW-APPROVE-SPDV</t>
        </is>
      </c>
      <c r="N22" s="23" t="n"/>
      <c r="O22" s="23" t="n"/>
      <c r="P22" s="23" t="n"/>
      <c r="Q22" s="23" t="n"/>
      <c r="R22" s="23" t="n"/>
      <c r="S22" s="23" t="n"/>
      <c r="T22" s="23" t="n"/>
      <c r="U22" s="23">
        <f>IF(R22&lt;&gt;"", R22, O22)</f>
        <v/>
      </c>
    </row>
    <row r="23" ht="15.75" customHeight="1" s="17">
      <c r="A23" s="23" t="inlineStr">
        <is>
          <t>PR01D-FLOW-OT01-NEG-021</t>
        </is>
      </c>
      <c r="B23" s="23" t="inlineStr">
        <is>
          <t>PR01</t>
        </is>
      </c>
      <c r="C23" s="23" t="inlineStr">
        <is>
          <t>SPDV chi tiết - OT.01 Từ chối</t>
        </is>
      </c>
      <c r="D23" s="23" t="inlineStr">
        <is>
          <t>Checker từ chối → không hiển thị trên lưới</t>
        </is>
      </c>
      <c r="E23" s="23" t="inlineStr">
        <is>
          <t>Negative</t>
        </is>
      </c>
      <c r="F23" s="23" t="inlineStr">
        <is>
          <t>Smoke</t>
        </is>
      </c>
      <c r="G23" s="23" t="inlineStr">
        <is>
          <t>P1</t>
        </is>
      </c>
      <c r="H23" s="23" t="inlineStr">
        <is>
          <t>1. Có 1 SPDV chi tiết ở Chờ duyệt.</t>
        </is>
      </c>
      <c r="I23" s="23" t="inlineStr">
        <is>
          <t>1) Checker mở ‘Tác vụ chờ duyệt’;
2) “Từ chối”, nhập lý do;
3) Về lưới kiểm tra</t>
        </is>
      </c>
      <c r="J23" s="23" t="inlineStr">
        <is>
          <t>(i) Logic: Từ chối → không hiển thị/không áp dụng.
(ii) UI: Lý do hiển thị tại lịch sử.
(iii) OT.01: Audit REJECT.
(iv) Data: Trạng thái ‘Từ chối’ lưu DB.</t>
        </is>
      </c>
      <c r="K23" s="23" t="inlineStr">
        <is>
          <t>II.5.1.1.3/BR_15; II.5.1.1.3/BR_16</t>
        </is>
      </c>
      <c r="L23" s="23" t="inlineStr">
        <is>
          <t>BR_15;BR_16</t>
        </is>
      </c>
      <c r="M23" s="23" t="inlineStr">
        <is>
          <t>FLOW-REJECT-SPDV</t>
        </is>
      </c>
      <c r="N23" s="23" t="n"/>
      <c r="O23" s="23" t="n"/>
      <c r="P23" s="23" t="n"/>
      <c r="Q23" s="23" t="n"/>
      <c r="R23" s="23" t="n"/>
      <c r="S23" s="23" t="n"/>
      <c r="T23" s="23" t="n"/>
      <c r="U23" s="23">
        <f>IF(R23&lt;&gt;"", R23, O23)</f>
        <v/>
      </c>
    </row>
    <row r="24" ht="15.75" customHeight="1" s="17">
      <c r="A24" s="23" t="inlineStr">
        <is>
          <t>PR01D-FLOW-EFF-HAPPY-022</t>
        </is>
      </c>
      <c r="B24" s="23" t="inlineStr">
        <is>
          <t>PR01</t>
        </is>
      </c>
      <c r="C24" s="23" t="inlineStr">
        <is>
          <t>SPDV chi tiết - Sửa hiệu lực (Versioning C)</t>
        </is>
      </c>
      <c r="D24" s="23" t="inlineStr">
        <is>
          <t>Sửa ngày hiệu lực hợp lệ ở mọi trạng thái → update in‑place sau duyệt</t>
        </is>
      </c>
      <c r="E24" s="23" t="inlineStr">
        <is>
          <t>Happy</t>
        </is>
      </c>
      <c r="F24" s="23" t="inlineStr">
        <is>
          <t>Regression</t>
        </is>
      </c>
      <c r="G24" s="23" t="inlineStr">
        <is>
          <t>P2</t>
        </is>
      </c>
      <c r="H24" s="23" t="inlineStr">
        <is>
          <t>1. Có SPDV chi tiết ‘Đã duyệt’ Maker có quyền sửa.</t>
        </is>
      </c>
      <c r="I24" s="23" t="inlineStr">
        <is>
          <t>1) Maker mở chi tiết → “Sửa”;
2) Nhập [T1'–T2'] hợp lệ (không quá khứ/không vượt cha/không end&lt;start);
3) “Xác nhận” (sinh tác vụ);
4) Checker duyệt;
5) Kiểm tra hiệu lực mới</t>
        </is>
      </c>
      <c r="J24" s="23" t="inlineStr">
        <is>
          <t>(i) Logic: Versioning C: cập nhật in‑place; không tạo version record mới.
(ii) UI: Tác vụ hiển thị; sau duyệt, hiệu lực mới hiển thị.
(iii) OT.01: UPDATE + APPROVE.
(iv) Data: Record hiện hữu được cập nhật.</t>
        </is>
      </c>
      <c r="K24" s="23" t="inlineStr">
        <is>
          <t>II.5.1.1.3; (Bối cảnh dự án)</t>
        </is>
      </c>
      <c r="L24" s="23" t="n"/>
      <c r="M24" s="23" t="inlineStr">
        <is>
          <t>FLOW-EFF-VALID-SPDV</t>
        </is>
      </c>
      <c r="N24" s="23" t="inlineStr">
        <is>
          <t>Áp dụng rule hiệu lực chung dự án</t>
        </is>
      </c>
      <c r="O24" s="23" t="n"/>
      <c r="P24" s="23" t="n"/>
      <c r="Q24" s="23" t="n"/>
      <c r="R24" s="23" t="n"/>
      <c r="S24" s="23" t="n"/>
      <c r="T24" s="23" t="n"/>
      <c r="U24" s="23">
        <f>IF(R24&lt;&gt;"", R24, O24)</f>
        <v/>
      </c>
    </row>
    <row r="25" ht="15.75" customHeight="1" s="17">
      <c r="A25" s="23" t="inlineStr">
        <is>
          <t>PR01D-FLOW-EFF-NEG-023</t>
        </is>
      </c>
      <c r="B25" s="23" t="inlineStr">
        <is>
          <t>PR01</t>
        </is>
      </c>
      <c r="C25" s="23" t="inlineStr">
        <is>
          <t>SPDV chi tiết - Sửa hiệu lực (Versioning C)</t>
        </is>
      </c>
      <c r="D25" s="23" t="inlineStr">
        <is>
          <t>Sửa hiệu lực end&lt;start/ra quá khứ/vượt cha → chặn &amp; không tạo tác vụ</t>
        </is>
      </c>
      <c r="E25" s="23" t="inlineStr">
        <is>
          <t>Negative</t>
        </is>
      </c>
      <c r="F25" s="23" t="inlineStr">
        <is>
          <t>Regression</t>
        </is>
      </c>
      <c r="G25" s="23" t="inlineStr">
        <is>
          <t>P2</t>
        </is>
      </c>
      <c r="H25" s="23" t="inlineStr">
        <is>
          <t>1. Có SPDV chi tiết ở trạng thái bất kỳ Maker mở Sửa.</t>
        </is>
      </c>
      <c r="I25" s="23" t="inlineStr">
        <is>
          <t>1) Nhập Ngày hết &lt; Ngày hiệu lực;
2) Hoặc đặt ngày quá khứ;
3) Hoặc set hiệu lực vượt [T1–T2] của cha;
4) “Xác nhận”</t>
        </is>
      </c>
      <c r="J25" s="23" t="inlineStr">
        <is>
          <t>(i) Logic: Vi phạm logic hiệu lực → chặn.
(ii) UI: Thông báo lỗi cụ thể.
(iii) OT.01: Không sinh tác vụ.
(iv) Data: Không thay đổi.</t>
        </is>
      </c>
      <c r="K25" s="23" t="inlineStr">
        <is>
          <t>II.5.1.1.3/BR_11; II.5.1.1.3/BR_13</t>
        </is>
      </c>
      <c r="L25" s="23" t="n"/>
      <c r="M25" s="23" t="inlineStr">
        <is>
          <t>FLOW-EFF-INVALID-SPDV</t>
        </is>
      </c>
      <c r="N25" s="23" t="n"/>
      <c r="O25" s="23" t="n"/>
      <c r="P25" s="23" t="n"/>
      <c r="Q25" s="23" t="n"/>
      <c r="R25" s="23" t="n"/>
      <c r="S25" s="23" t="n"/>
      <c r="T25" s="23" t="n"/>
      <c r="U25" s="23">
        <f>IF(R25&lt;&gt;"", R25, O25)</f>
        <v/>
      </c>
    </row>
    <row r="26" ht="15.75" customHeight="1" s="17">
      <c r="A26" s="23" t="inlineStr">
        <is>
          <t>PR01D-UI-01-OPEN-024</t>
        </is>
      </c>
      <c r="B26" s="23" t="inlineStr">
        <is>
          <t>PR01</t>
        </is>
      </c>
      <c r="C26" s="23" t="inlineStr">
        <is>
          <t>SPDV chi tiết - UI Thêm mới</t>
        </is>
      </c>
      <c r="D26" s="23" t="inlineStr">
        <is>
          <t>Mở form Thêm SPDV chi tiết từ cấp cha; hiển thị đủ vùng &amp; control</t>
        </is>
      </c>
      <c r="E26" s="23" t="inlineStr">
        <is>
          <t>Happy</t>
        </is>
      </c>
      <c r="F26" s="23" t="inlineStr">
        <is>
          <t>Regression</t>
        </is>
      </c>
      <c r="G26" s="23" t="inlineStr">
        <is>
          <t>P3</t>
        </is>
      </c>
      <c r="H26" s="23" t="inlineStr">
        <is>
          <t>1. Có SPDV cha đã duyệt Maker đăng nhập.</t>
        </is>
      </c>
      <c r="I26" s="23" t="inlineStr">
        <is>
          <t>1) Tại bản ghi cha → bấm “+”;
2) Quan sát các vùng thông tin &amp; nút (Lưu/Xác nhận/Đóng)</t>
        </is>
      </c>
      <c r="J26" s="23" t="inlineStr">
        <is>
          <t>(i) Logic: không áp dụng.
(ii) UI: Vùng/field/nút hiển thị đúng &amp; enable theo ngữ cảnh.
(iii) OT.01: không áp dụng.
(iv) Data: Không đổi.</t>
        </is>
      </c>
      <c r="K26" s="23" t="inlineStr">
        <is>
          <t>II.5.1.1.3/Step‑1~2</t>
        </is>
      </c>
      <c r="L26" s="23" t="inlineStr">
        <is>
          <t>UI-FUNC.01</t>
        </is>
      </c>
      <c r="M26" s="23" t="inlineStr">
        <is>
          <t>UI-OPEN-ADD-SPDV</t>
        </is>
      </c>
      <c r="N26" s="23" t="inlineStr">
        <is>
          <t>UI-only; không lặp BR</t>
        </is>
      </c>
      <c r="O26" s="23" t="n"/>
      <c r="P26" s="23" t="n"/>
      <c r="Q26" s="23" t="n"/>
      <c r="R26" s="23" t="n"/>
      <c r="S26" s="23" t="n"/>
      <c r="T26" s="23" t="n"/>
      <c r="U26" s="23">
        <f>IF(R26&lt;&gt;"", R26, O26)</f>
        <v/>
      </c>
    </row>
    <row r="27" ht="15.75" customHeight="1" s="17">
      <c r="A27" s="23" t="inlineStr">
        <is>
          <t>PR01D-UI-02-RO-025</t>
        </is>
      </c>
      <c r="B27" s="23" t="inlineStr">
        <is>
          <t>PR01</t>
        </is>
      </c>
      <c r="C27" s="23" t="inlineStr">
        <is>
          <t>SPDV chi tiết - UI Xem</t>
        </is>
      </c>
      <c r="D27" s="23" t="inlineStr">
        <is>
          <t>Xem chi tiết SPDV chi tiết ở chế độ read‑only</t>
        </is>
      </c>
      <c r="E27" s="23" t="inlineStr">
        <is>
          <t>Happy</t>
        </is>
      </c>
      <c r="F27" s="23" t="inlineStr">
        <is>
          <t>Regression</t>
        </is>
      </c>
      <c r="G27" s="23" t="inlineStr">
        <is>
          <t>P3</t>
        </is>
      </c>
      <c r="H27" s="23" t="inlineStr">
        <is>
          <t>1. Có dữ liệu SPDV chi tiết ở bất kỳ trạng thái.</t>
        </is>
      </c>
      <c r="I27" s="23" t="inlineStr">
        <is>
          <t>1) Chọn bản ghi → “Xem”;
2) Quan sát trạng thái field</t>
        </is>
      </c>
      <c r="J27" s="23" t="inlineStr">
        <is>
          <t>(i) Logic: không áp dụng.
(ii) UI: Chỉ xem; không cho chỉnh sửa.
(iii) OT.01: không áp dụng.
(iv) Data: Không đổi.</t>
        </is>
      </c>
      <c r="K27" s="23" t="inlineStr">
        <is>
          <t>II.5.1.1.3</t>
        </is>
      </c>
      <c r="L27" s="23" t="inlineStr">
        <is>
          <t>UI-FUNC.03</t>
        </is>
      </c>
      <c r="M27" s="23" t="inlineStr">
        <is>
          <t>UI-VIEW-RO-SPDV</t>
        </is>
      </c>
      <c r="N27" s="23" t="n"/>
      <c r="O27" s="23" t="n"/>
      <c r="P27" s="23" t="n"/>
      <c r="Q27" s="23" t="n"/>
      <c r="R27" s="23" t="n"/>
      <c r="S27" s="23" t="n"/>
      <c r="T27" s="23" t="n"/>
      <c r="U27" s="23">
        <f>IF(R27&lt;&gt;"", R27, O27)</f>
        <v/>
      </c>
    </row>
    <row r="28" ht="15.75" customHeight="1" s="17">
      <c r="A28" s="23" t="inlineStr">
        <is>
          <t>PR01D-UI-03-EDITNAV-026</t>
        </is>
      </c>
      <c r="B28" s="23" t="inlineStr">
        <is>
          <t>PR01</t>
        </is>
      </c>
      <c r="C28" s="23" t="inlineStr">
        <is>
          <t>SPDV chi tiết - UI Sửa</t>
        </is>
      </c>
      <c r="D28" s="23" t="inlineStr">
        <is>
          <t>Điều hướng Sửa → Lưu → quay lại lưới vẫn giữ giá trị đã lưu</t>
        </is>
      </c>
      <c r="E28" s="23" t="inlineStr">
        <is>
          <t>Happy</t>
        </is>
      </c>
      <c r="F28" s="23" t="inlineStr">
        <is>
          <t>Regression</t>
        </is>
      </c>
      <c r="G28" s="23" t="inlineStr">
        <is>
          <t>P3</t>
        </is>
      </c>
      <c r="H28" s="23" t="inlineStr">
        <is>
          <t>1. Có SPDV chi tiết Maker có quyền sửa.</t>
        </is>
      </c>
      <c r="I28" s="23" t="inlineStr">
        <is>
          <t>1) Tại lưới chọn bản ghi → “Sửa”;
2) Thay đổi Mô tả nhỏ → “Xác nhận”;
3) Quay lại lưới → mở lại chi tiết kiểm tra</t>
        </is>
      </c>
      <c r="J28" s="23" t="inlineStr">
        <is>
          <t>(i) Logic: không áp dụng.
(ii) UI: Giá trị đã lưu hiển thị đúng; điều hướng mượt.
(iii) OT.01: Nếu thay đổi thuộc phạm vi duyệt → sinh tác vụ.
(iv) Data: Audit UPDATE ghi trường thay đổi.</t>
        </is>
      </c>
      <c r="K28" s="23" t="inlineStr">
        <is>
          <t>II.5.1.1.3</t>
        </is>
      </c>
      <c r="L28" s="23" t="inlineStr">
        <is>
          <t>UI-FUNC.04</t>
        </is>
      </c>
      <c r="M28" s="23" t="inlineStr">
        <is>
          <t>UI-EDIT-NAV-SPDV</t>
        </is>
      </c>
      <c r="N28" s="23" t="inlineStr">
        <is>
          <t>Không test rule hiệu lực (đã ở Flow)</t>
        </is>
      </c>
      <c r="O28" s="23" t="n"/>
      <c r="P28" s="23" t="n"/>
      <c r="Q28" s="23" t="n"/>
      <c r="R28" s="23" t="n"/>
      <c r="S28" s="23" t="n"/>
      <c r="T28" s="23" t="n"/>
      <c r="U28" s="23">
        <f>IF(R28&lt;&gt;"", R28, O28)</f>
        <v/>
      </c>
    </row>
    <row r="29" ht="15.75" customHeight="1" s="17">
      <c r="A29" s="23" t="inlineStr">
        <is>
          <t>PR01D-UI-04-FILTER-027</t>
        </is>
      </c>
      <c r="B29" s="23" t="inlineStr">
        <is>
          <t>PR01</t>
        </is>
      </c>
      <c r="C29" s="23" t="inlineStr">
        <is>
          <t>SPDV chi tiết - UI Lọc</t>
        </is>
      </c>
      <c r="D29" s="23" t="inlineStr">
        <is>
          <t>Tìm kiếm theo Tên/Mã/Trạng thái; “Xóa lọc” khôi phục lưới</t>
        </is>
      </c>
      <c r="E29" s="23" t="inlineStr">
        <is>
          <t>Happy</t>
        </is>
      </c>
      <c r="F29" s="23" t="inlineStr">
        <is>
          <t>Regression</t>
        </is>
      </c>
      <c r="G29" s="23" t="inlineStr">
        <is>
          <t>P2</t>
        </is>
      </c>
      <c r="H29" s="23" t="inlineStr">
        <is>
          <t>1. Có nhiều bản ghi SPDV chi tiết.</t>
        </is>
      </c>
      <c r="I29" s="23" t="inlineStr">
        <is>
          <t>1) Lọc theo Tên;
2) Lọc theo Mã;
3) Lọc theo Trạng thái;
4) Nhấn “Xóa lọc”</t>
        </is>
      </c>
      <c r="J29" s="23" t="inlineStr">
        <is>
          <t>(i) Logic: không áp dụng.
(ii) UI: Bộ lọc trả về đúng kết quả; Xóa lọc khôi phục lưới.
(iii) OT.01: không áp dụng.
(iv) Data: Không đổi.</t>
        </is>
      </c>
      <c r="K29" s="23" t="inlineStr">
        <is>
          <t>II.5.1.1.3</t>
        </is>
      </c>
      <c r="L29" s="23" t="inlineStr">
        <is>
          <t>UI-FUNC.05</t>
        </is>
      </c>
      <c r="M29" s="23" t="inlineStr">
        <is>
          <t>UI-FILTER-SPDV</t>
        </is>
      </c>
      <c r="N29" s="23" t="n"/>
      <c r="O29" s="23" t="n"/>
      <c r="P29" s="23" t="n"/>
      <c r="Q29" s="23" t="n"/>
      <c r="R29" s="23" t="n"/>
      <c r="S29" s="23" t="n"/>
      <c r="T29" s="23" t="n"/>
      <c r="U29" s="23">
        <f>IF(R29&lt;&gt;"", R29, O29)</f>
        <v/>
      </c>
    </row>
    <row r="30" ht="15.75" customHeight="1" s="17">
      <c r="A30" s="23" t="inlineStr">
        <is>
          <t>PR01D-UI-05-EXPORT-028</t>
        </is>
      </c>
      <c r="B30" s="23" t="inlineStr">
        <is>
          <t>PR01</t>
        </is>
      </c>
      <c r="C30" s="23" t="inlineStr">
        <is>
          <t>SPDV chi tiết - UI Tải xuống</t>
        </is>
      </c>
      <c r="D30" s="23" t="inlineStr">
        <is>
          <t>Export dữ liệu lưới ra .xlsx (theo lọc &amp; toàn bộ)</t>
        </is>
      </c>
      <c r="E30" s="23" t="inlineStr">
        <is>
          <t>Happy</t>
        </is>
      </c>
      <c r="F30" s="23" t="inlineStr">
        <is>
          <t>Regression</t>
        </is>
      </c>
      <c r="G30" s="23" t="inlineStr">
        <is>
          <t>P2</t>
        </is>
      </c>
      <c r="H30" s="23" t="inlineStr">
        <is>
          <t>1. Có dữ liệu đang áp dụng 1 bộ lọc.</t>
        </is>
      </c>
      <c r="I30" s="23" t="inlineStr">
        <is>
          <t>1) “Tải xuống” → chọn .xlsx;
2) Mở file kiểm tra;
3) Xóa lọc → export lại;
4) So sánh 2 file</t>
        </is>
      </c>
      <c r="J30" s="23" t="inlineStr">
        <is>
          <t>(i) Logic: không áp dụng.
(ii) UI: Export hoạt động; thông báo thành công.
(iii) OT.01: không áp dụng.
(iv) File: Lần 1 theo bộ lọc; lần 2 toàn bộ.</t>
        </is>
      </c>
      <c r="K30" s="23" t="inlineStr">
        <is>
          <t>II.5.1.1.3</t>
        </is>
      </c>
      <c r="L30" s="23" t="inlineStr">
        <is>
          <t>UI-FUNC.06</t>
        </is>
      </c>
      <c r="M30" s="23" t="inlineStr">
        <is>
          <t>UI-EXPORT-SPDV</t>
        </is>
      </c>
      <c r="N30" s="23" t="n"/>
      <c r="O30" s="23" t="n"/>
      <c r="P30" s="23" t="n"/>
      <c r="Q30" s="23" t="n"/>
      <c r="R30" s="23" t="n"/>
      <c r="S30" s="23" t="n"/>
      <c r="T30" s="23" t="n"/>
      <c r="U30" s="23">
        <f>IF(R30&lt;&gt;"", R30, O30)</f>
        <v/>
      </c>
    </row>
    <row r="31" ht="15.75" customHeight="1" s="17">
      <c r="A31" s="23" t="inlineStr">
        <is>
          <t>PR01D-UI-06-META-029</t>
        </is>
      </c>
      <c r="B31" s="23" t="inlineStr">
        <is>
          <t>PR01</t>
        </is>
      </c>
      <c r="C31" s="23" t="inlineStr">
        <is>
          <t>SPDV chi tiết - UI Lưới/Meta</t>
        </is>
      </c>
      <c r="D31" s="23" t="inlineStr">
        <is>
          <t>Cột “Ngày tạo/Người tạo” hiển thị đúng định dạng/giá trị</t>
        </is>
      </c>
      <c r="E31" s="23" t="inlineStr">
        <is>
          <t>Happy</t>
        </is>
      </c>
      <c r="F31" s="23" t="inlineStr">
        <is>
          <t>Regression</t>
        </is>
      </c>
      <c r="G31" s="23" t="inlineStr">
        <is>
          <t>P3</t>
        </is>
      </c>
      <c r="H31" s="23" t="inlineStr">
        <is>
          <t>1. Có dữ liệu đa trạng thái.</t>
        </is>
      </c>
      <c r="I31" s="23" t="inlineStr">
        <is>
          <t>1) Bật hiển thị cột ‘Ngày tạo/Người tạo’;
2) Quan sát định dạng &amp; giá trị</t>
        </is>
      </c>
      <c r="J31" s="23" t="inlineStr">
        <is>
          <t>(i) Logic: không áp dụng.
(ii) UI: YYYY‑MM‑DD HH:MM:SS; Người tạo đúng username.
(iii) OT.01: không áp dụng.
(iv) Data: Khớp DB/audit.</t>
        </is>
      </c>
      <c r="K31" s="23" t="inlineStr">
        <is>
          <t>II.5.1.1.3/BR_17; II.5.1.1.3/BR_18</t>
        </is>
      </c>
      <c r="L31" s="23" t="inlineStr">
        <is>
          <t>UI-FUNC.05</t>
        </is>
      </c>
      <c r="M31" s="23" t="inlineStr">
        <is>
          <t>UI-META-DISPLAY-SPDV</t>
        </is>
      </c>
      <c r="N31" s="23" t="inlineStr">
        <is>
          <t>UI kiểm hiển thị; logic auto đã có BR17/18</t>
        </is>
      </c>
      <c r="O31" s="23" t="n"/>
      <c r="P31" s="23" t="n"/>
      <c r="Q31" s="23" t="n"/>
      <c r="R31" s="23" t="n"/>
      <c r="S31" s="23" t="n"/>
      <c r="T31" s="23" t="n"/>
      <c r="U31" s="23">
        <f>IF(R31&lt;&gt;"", R31, O31)</f>
        <v/>
      </c>
    </row>
    <row r="32" ht="15.75" customHeight="1" s="17">
      <c r="A32" s="23" t="inlineStr">
        <is>
          <t>PR01D-NOTE-ONLY-030</t>
        </is>
      </c>
      <c r="B32" s="23" t="inlineStr">
        <is>
          <t>PR01</t>
        </is>
      </c>
      <c r="C32" s="23" t="inlineStr">
        <is>
          <t>Note only</t>
        </is>
      </c>
      <c r="D32" s="23" t="inlineStr">
        <is>
          <t>ĐÃ COVER “chưa duyệt không hiển thị” &amp; “tác vụ chờ duyệt”</t>
        </is>
      </c>
      <c r="E32" s="23" t="inlineStr">
        <is>
          <t>Note only</t>
        </is>
      </c>
      <c r="F32" s="23" t="inlineStr">
        <is>
          <t>-</t>
        </is>
      </c>
      <c r="G32" s="23" t="inlineStr">
        <is>
          <t>P3</t>
        </is>
      </c>
      <c r="H32" s="23" t="n"/>
      <c r="I32" s="23" t="inlineStr">
        <is>
          <t>-</t>
        </is>
      </c>
      <c r="J32" s="23" t="inlineStr">
        <is>
          <t>ĐÃ COVER ở PR01D-BR15-HAPPY-016 và PR01D-BR16-HAPPY-017 (URD_Ref II.5.1.1.3/BR_15; BR_16)</t>
        </is>
      </c>
      <c r="K32" s="23" t="inlineStr">
        <is>
          <t>II.5.1.1.3/BR_15; II.5.1.1.3/BR_16</t>
        </is>
      </c>
      <c r="L32" s="23" t="inlineStr">
        <is>
          <t>-</t>
        </is>
      </c>
      <c r="M32" s="23" t="inlineStr">
        <is>
          <t>DEDUP-NOTSHOW-TASK</t>
        </is>
      </c>
      <c r="N32" s="23" t="n"/>
      <c r="O32" s="23" t="n"/>
      <c r="P32" s="23" t="n"/>
      <c r="Q32" s="23" t="n"/>
      <c r="R32" s="23" t="n"/>
      <c r="S32" s="23" t="n"/>
      <c r="T32" s="23" t="n"/>
      <c r="U32" s="23" t="n"/>
    </row>
    <row r="33" ht="15.75" customHeight="1" s="17">
      <c r="A33" s="23" t="inlineStr">
        <is>
          <t>PR01-BR13-BOU-031</t>
        </is>
      </c>
      <c r="B33" s="23" t="inlineStr">
        <is>
          <t>PR01</t>
        </is>
      </c>
      <c r="C33" s="23" t="inlineStr">
        <is>
          <t>Hiệu lực Cha-Con</t>
        </is>
      </c>
      <c r="D33" s="23" t="inlineStr">
        <is>
          <t>BR_13: Hiệu lực con khớp 100% với hiệu lực cha (Biên cận trên/dưới)</t>
        </is>
      </c>
      <c r="E33" s="23" t="inlineStr">
        <is>
          <t>Boundary</t>
        </is>
      </c>
      <c r="F33" s="23" t="inlineStr">
        <is>
          <t>Regression</t>
        </is>
      </c>
      <c r="G33" s="23" t="inlineStr">
        <is>
          <t>P1</t>
        </is>
      </c>
      <c r="H33" s="23" t="inlineStr">
        <is>
          <t>1. SPDV Cha có hiệu lực: [2026-01-01 - 2026-12-31].</t>
        </is>
      </c>
      <c r="I33" s="23" t="inlineStr">
        <is>
          <t>1. Thực hiện thêm mới SPDV con.
2. Nhập Ngày hiệu lực = 2026-01-
01.
3. Nhập Ngày hết hiệu lực = 2026-12-
31.
4. Nhấn Xác nhận.</t>
        </is>
      </c>
      <c r="J33" s="23" t="inlineStr">
        <is>
          <t>(i) Logic: Hệ thống chấp nhận vì nằm trong khoảng [T1-T2] của cha (bao gồm cả biên).
(ii) UI: Không báo lỗi vượt kỳ cha.
(iii) Trạng thái: Chờ duyệt.
(iv) Khác: N/A</t>
        </is>
      </c>
      <c r="K33" s="23" t="inlineStr">
        <is>
          <t>BR Code: BR_13</t>
        </is>
      </c>
      <c r="L33" s="23" t="inlineStr">
        <is>
          <t>BR_13</t>
        </is>
      </c>
      <c r="M33" s="23" t="inlineStr">
        <is>
          <t>BR13-BOU-MATCH</t>
        </is>
      </c>
      <c r="N33" s="23" t="inlineStr">
        <is>
          <t>Bổ sung GAPs review.</t>
        </is>
      </c>
      <c r="O33" s="23" t="n"/>
      <c r="P33" s="23" t="n"/>
      <c r="Q33" s="23" t="n"/>
      <c r="R33" s="23" t="n"/>
      <c r="S33" s="23" t="n"/>
      <c r="T33" s="23" t="n"/>
      <c r="U33" s="23">
        <f>IF(R32&lt;&gt;"", R32, O32)</f>
        <v/>
      </c>
    </row>
    <row r="34" ht="15.75" customHeight="1" s="17">
      <c r="A34" s="23" t="inlineStr">
        <is>
          <t>PR01-BR04-HAP-032</t>
        </is>
      </c>
      <c r="B34" s="23" t="inlineStr">
        <is>
          <t>PR01</t>
        </is>
      </c>
      <c r="C34" s="23" t="inlineStr">
        <is>
          <t>Mã tự sinh</t>
        </is>
      </c>
      <c r="D34" s="23" t="inlineStr">
        <is>
          <t>BR_04: Verify Mã SPDV con hiển thị đúng format [Mã cha][01-99]</t>
        </is>
      </c>
      <c r="E34" s="23" t="inlineStr">
        <is>
          <t>HappyPath</t>
        </is>
      </c>
      <c r="F34" s="23" t="inlineStr">
        <is>
          <t>Smoke</t>
        </is>
      </c>
      <c r="G34" s="23" t="inlineStr">
        <is>
          <t>P1</t>
        </is>
      </c>
      <c r="H34" s="23" t="inlineStr">
        <is>
          <t>1. Mã SPDV cha = 06.</t>
        </is>
      </c>
      <c r="I34" s="23" t="inlineStr">
        <is>
          <t>1. Tại lưới danh sách, nhấn '+' tại dòng mã
06.
2. Quan sát trường 'Mã SPDV chi tiết' trên Form.</t>
        </is>
      </c>
      <c r="J34" s="23" t="inlineStr">
        <is>
          <t>(i) Logic: Mã tự sinh đúng nguyên tắc ghép chuỗi.
(ii) UI: Mã hiển thị là 0601
(nếu là con đầu tiên) hoặc 06xx.
(iii) Trạng thái: N/A.
(iv) Khác: N/A</t>
        </is>
      </c>
      <c r="K34" s="23" t="inlineStr">
        <is>
          <t>BR Code: BR_04</t>
        </is>
      </c>
      <c r="L34" s="23" t="inlineStr">
        <is>
          <t>BR_04</t>
        </is>
      </c>
      <c r="M34" s="23" t="inlineStr">
        <is>
          <t>BR04-CODE-FORMAT</t>
        </is>
      </c>
      <c r="N34" s="23" t="inlineStr">
        <is>
          <t>Bổ sung GAPs review.</t>
        </is>
      </c>
      <c r="O34" s="23" t="n"/>
      <c r="P34" s="23" t="n"/>
      <c r="Q34" s="23" t="n"/>
      <c r="R34" s="23" t="n"/>
      <c r="S34" s="23" t="n"/>
      <c r="T34" s="23" t="n"/>
      <c r="U34" s="23">
        <f>IF(R33&lt;&gt;"", R33, O33)</f>
        <v/>
      </c>
    </row>
    <row r="35" ht="15.75" customHeight="1" s="17">
      <c r="A35" s="23" t="inlineStr">
        <is>
          <t>PR01-BR06-HAP-033</t>
        </is>
      </c>
      <c r="B35" s="23" t="inlineStr">
        <is>
          <t>PR01</t>
        </is>
      </c>
      <c r="C35" s="23" t="inlineStr">
        <is>
          <t>Thông tin SPDV cha</t>
        </is>
      </c>
      <c r="D35" s="23" t="inlineStr">
        <is>
          <t>BR_06: Verify Label Cấp cha hiển thị 'Mã - Tên' của cấp cha</t>
        </is>
      </c>
      <c r="E35" s="23" t="inlineStr">
        <is>
          <t>HappyPath</t>
        </is>
      </c>
      <c r="F35" s="23" t="inlineStr">
        <is>
          <t>Regression</t>
        </is>
      </c>
      <c r="G35" s="23" t="inlineStr">
        <is>
          <t>P3</t>
        </is>
      </c>
      <c r="H35" s="23" t="inlineStr">
        <is>
          <t>1. SPDV Cha: 06 - Nghiệp vụ Tài khoản.</t>
        </is>
      </c>
      <c r="I35" s="23" t="inlineStr">
        <is>
          <t>1. Nhấn '+' tại cấp cha
06.
2. Quan sát giá trị trường 'Cấp SPDV liền trước'.</t>
        </is>
      </c>
      <c r="J35" s="23" t="inlineStr">
        <is>
          <t>(i) Logic: Dữ liệu nguồn lấy đúng từ bản ghi được chọn.
(ii) UI: Hiển thị đúng text: '06 - Nghiệp vụ Tài khoản'.
(iii) Trạng thái: Read-only.
(iv) Khác: N/A</t>
        </is>
      </c>
      <c r="K35" s="23" t="inlineStr">
        <is>
          <t>BR Code: BR_06</t>
        </is>
      </c>
      <c r="L35" s="23" t="inlineStr">
        <is>
          <t>BR_06</t>
        </is>
      </c>
      <c r="M35" s="23" t="inlineStr">
        <is>
          <t>BR06-PARENT-LABEL</t>
        </is>
      </c>
      <c r="N35" s="23" t="inlineStr">
        <is>
          <t>Bổ sung GAPs review.</t>
        </is>
      </c>
      <c r="O35" s="23" t="n"/>
      <c r="P35" s="23" t="n"/>
      <c r="Q35" s="23" t="n"/>
      <c r="R35" s="23" t="n"/>
      <c r="S35" s="23" t="n"/>
      <c r="T35" s="23" t="n"/>
      <c r="U35" s="23">
        <f>IF(R34&lt;&gt;"", R34, O34)</f>
        <v/>
      </c>
    </row>
    <row r="36" ht="15.75" customHeight="1" s="17">
      <c r="A36" s="23" t="inlineStr">
        <is>
          <t>PR01-BR10-HAP-035</t>
        </is>
      </c>
      <c r="B36" s="23" t="inlineStr">
        <is>
          <t>PR01</t>
        </is>
      </c>
      <c r="C36" s="23" t="inlineStr">
        <is>
          <t>Ràng buộc cấp cuối</t>
        </is>
      </c>
      <c r="D36" s="23" t="inlineStr">
        <is>
          <t>BR_10/BR_09: Verify không xuất hiện nút '+' và hiển thị nhãn Cấp cuối</t>
        </is>
      </c>
      <c r="E36" s="23" t="inlineStr">
        <is>
          <t>Logic</t>
        </is>
      </c>
      <c r="F36" s="23" t="inlineStr">
        <is>
          <t>Regression</t>
        </is>
      </c>
      <c r="G36" s="23" t="inlineStr">
        <is>
          <t>P2</t>
        </is>
      </c>
      <c r="H36" s="23" t="inlineStr">
        <is>
          <t>1. Đang xem/sửa bản ghi tại cấp SPDV tối đa (n).</t>
        </is>
      </c>
      <c r="I36" s="23" t="inlineStr">
        <is>
          <t>1. Mở xem bản ghi cấp n.
2. Quan sát các nút chức năng.
3. Kiểm tra thông báo tình trạng cấp.</t>
        </is>
      </c>
      <c r="J36" s="23" t="inlineStr">
        <is>
          <t>(i) Logic: Cấp tối đa không được phép có con.
(ii) UI: Không có nút '+' trên lưới; Form hiển thị nhãn: 'Đây là cấp cuối cùng trong cây sơ đồ SPDV'.
(iii) Trạng thái: N/A.
(iv) Khác: N/A</t>
        </is>
      </c>
      <c r="K36" s="23" t="inlineStr">
        <is>
          <t>BR Code: BR_09, BR_10</t>
        </is>
      </c>
      <c r="L36" s="23" t="inlineStr">
        <is>
          <t>BR_10</t>
        </is>
      </c>
      <c r="M36" s="23" t="inlineStr">
        <is>
          <t>BR10-LAST-LEVEL</t>
        </is>
      </c>
      <c r="N36" s="23" t="inlineStr">
        <is>
          <t>Bổ sung GAPs review.</t>
        </is>
      </c>
      <c r="O36" s="23" t="n"/>
      <c r="P36" s="23" t="n"/>
      <c r="Q36" s="23" t="n"/>
      <c r="R36" s="23" t="n"/>
      <c r="S36" s="23" t="n"/>
      <c r="T36" s="23" t="n"/>
      <c r="U36" s="23">
        <f>IF(R35&lt;&gt;"", R35, O35)</f>
        <v/>
      </c>
    </row>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sheetData>
  <mergeCells count="1">
    <mergeCell ref="A1:U1"/>
  </mergeCells>
  <conditionalFormatting sqref="U3:U999">
    <cfRule type="cellIs" priority="1" operator="equal" dxfId="1">
      <formula>"Pass"</formula>
    </cfRule>
    <cfRule type="cellIs" priority="2" operator="equal" dxfId="0">
      <formula>"Fail"</formula>
    </cfRule>
  </conditionalFormatting>
  <dataValidations count="2">
    <dataValidation sqref="O3:O43 R3:R43" showDropDown="0" showInputMessage="0" showErrorMessage="0" allowBlank="1" type="list">
      <formula1>"Pass,Fail,Doing,Blocked,N/A"</formula1>
    </dataValidation>
    <dataValidation sqref="P3:P43 S3:S43" showDropDown="0" showInputMessage="0" showErrorMessage="0" allowBlank="1" type="list">
      <formula1>"Định,Thanh,Vân Anh,Hiệp"</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U40"/>
  <sheetViews>
    <sheetView workbookViewId="0">
      <pane ySplit="2" topLeftCell="A3" activePane="bottomLeft" state="frozen"/>
      <selection pane="bottomLeft" activeCell="B4" sqref="B4"/>
    </sheetView>
  </sheetViews>
  <sheetFormatPr baseColWidth="10" defaultColWidth="14.5" defaultRowHeight="15" customHeight="1"/>
  <cols>
    <col width="14" customWidth="1" style="17" min="1" max="1"/>
    <col width="8" customWidth="1" style="17" min="2" max="3"/>
    <col width="22" customWidth="1" style="17" min="3" max="3"/>
    <col width="38" customWidth="1" style="17" min="4" max="4"/>
    <col hidden="1" width="12" customWidth="1" style="17" min="5" max="7"/>
    <col width="12" customWidth="1" style="17" min="6" max="6"/>
    <col width="9" customWidth="1" style="17" min="7" max="7"/>
    <col width="32" customWidth="1" style="17" min="8" max="10"/>
    <col width="42" customWidth="1" style="17" min="9" max="9"/>
    <col width="52" customWidth="1" style="17" min="10" max="10"/>
    <col width="22" customWidth="1" style="17" min="11" max="12"/>
    <col width="14" customWidth="1" style="17" min="12" max="12"/>
    <col width="14" customWidth="1" style="17" min="13" max="13"/>
    <col width="22" customWidth="1" style="17" min="14" max="14"/>
    <col width="12" customWidth="1" style="17" min="15" max="21"/>
    <col width="12" customWidth="1" style="17" min="16" max="16"/>
    <col width="12" customWidth="1" style="17" min="17" max="17"/>
    <col width="12" customWidth="1" style="17" min="18" max="18"/>
    <col width="12" customWidth="1" style="17" min="19" max="19"/>
    <col width="12" customWidth="1" style="17" min="20" max="20"/>
    <col width="12" customWidth="1" style="17" min="21" max="21"/>
    <col width="8.6640625" customWidth="1" style="17" min="22" max="26"/>
  </cols>
  <sheetData>
    <row r="1" ht="17" customHeight="1" s="17">
      <c r="A1" s="21" t="inlineStr">
        <is>
          <t>TEST CASES — II.5.1.1.4. Thêm mới code phí dành cho KHCN</t>
        </is>
      </c>
    </row>
    <row r="2" ht="16" customHeight="1" s="17">
      <c r="A2" s="1" t="inlineStr">
        <is>
          <t>TC_ID</t>
        </is>
      </c>
      <c r="B2" s="1" t="inlineStr">
        <is>
          <t>Module</t>
        </is>
      </c>
      <c r="C2" s="1" t="inlineStr">
        <is>
          <t>Feature</t>
        </is>
      </c>
      <c r="D2" s="1" t="inlineStr">
        <is>
          <t>Title</t>
        </is>
      </c>
      <c r="E2" s="1" t="inlineStr">
        <is>
          <t>Type</t>
        </is>
      </c>
      <c r="F2" s="1" t="inlineStr">
        <is>
          <t>Category</t>
        </is>
      </c>
      <c r="G2" s="1" t="inlineStr">
        <is>
          <t>Priority</t>
        </is>
      </c>
      <c r="H2" s="1" t="inlineStr">
        <is>
          <t>Precondition</t>
        </is>
      </c>
      <c r="I2" s="1" t="inlineStr">
        <is>
          <t>Steps</t>
        </is>
      </c>
      <c r="J2" s="1" t="inlineStr">
        <is>
          <t>Expected</t>
        </is>
      </c>
      <c r="K2" s="1" t="inlineStr">
        <is>
          <t>URD_Ref</t>
        </is>
      </c>
      <c r="L2" s="1" t="inlineStr">
        <is>
          <t>BR_Ref</t>
        </is>
      </c>
      <c r="M2" s="1" t="inlineStr">
        <is>
          <t>Trace_ID</t>
        </is>
      </c>
      <c r="N2" s="1" t="inlineStr">
        <is>
          <t>Note</t>
        </is>
      </c>
      <c r="O2" s="1" t="inlineStr">
        <is>
          <t>Status R1</t>
        </is>
      </c>
      <c r="P2" s="1" t="inlineStr">
        <is>
          <t>Tester R1</t>
        </is>
      </c>
      <c r="Q2" s="1" t="inlineStr">
        <is>
          <t>Date R1</t>
        </is>
      </c>
      <c r="R2" s="1" t="inlineStr">
        <is>
          <t>Status R2</t>
        </is>
      </c>
      <c r="S2" s="1" t="inlineStr">
        <is>
          <t>Tester R2</t>
        </is>
      </c>
      <c r="T2" s="1" t="inlineStr">
        <is>
          <t>Date R2</t>
        </is>
      </c>
      <c r="U2" s="1" t="inlineStr">
        <is>
          <t>Final Status</t>
        </is>
      </c>
    </row>
    <row r="3" ht="96" customHeight="1" s="17">
      <c r="A3" s="23" t="inlineStr">
        <is>
          <t>5.1.1.4-BR01-HAPPY-001</t>
        </is>
      </c>
      <c r="B3" s="23" t="inlineStr">
        <is>
          <t>5.1.1.4 – II.5.1.1.4. Thêm mới code phí dành cho KHCN</t>
        </is>
      </c>
      <c r="C3" s="23" t="inlineStr">
        <is>
          <t>II.5.1.1.4 – Thêm mới code phí dành cho KHCN/CBNV</t>
        </is>
      </c>
      <c r="D3" s="23" t="inlineStr">
        <is>
          <t>Xác nhận khi đã nhập đủ trường bắt buộc</t>
        </is>
      </c>
      <c r="E3" s="23" t="inlineStr">
        <is>
          <t>Happy</t>
        </is>
      </c>
      <c r="F3" s="23" t="inlineStr">
        <is>
          <t>Smoke</t>
        </is>
      </c>
      <c r="G3" s="23" t="inlineStr">
        <is>
          <t>P1</t>
        </is>
      </c>
      <c r="H3" s="23" t="inlineStr">
        <is>
          <t>1. Vai trò: Maker Tồn tại SPDV cấp cuối (đã duyệt) Có &gt;=1 công thức tính phí (đã duyệt) Ngày T.</t>
        </is>
      </c>
      <c r="I3" s="23" t="inlineStr">
        <is>
          <t>1. Vào SPDV cấp cuối -&gt; Click 'Thêm code phí'.
2. Nhập đầy đủ các trường có dấu (*).
3. Lựa chọn Công thức tính phí &amp; nhập mức phí demo.
4. Click nút 'Xác nhận' tại Footer.</t>
        </is>
      </c>
      <c r="J3" s="23" t="inlineStr">
        <is>
          <t>(i) Hệ thống cho phép gửi yêu cầu Thêm mới.
(ii) Hiển thị thông báo Toast thành công.
(iii) Bản ghi mới được sinh ra ở trạng thái 'Chờ duyệt'.
(iv) Ghi nhận log Audit đầy đủ.</t>
        </is>
      </c>
      <c r="K3" s="23" t="inlineStr">
        <is>
          <t>II.5.1.1.4</t>
        </is>
      </c>
      <c r="L3" s="23" t="inlineStr">
        <is>
          <t>BR_01, BR_14</t>
        </is>
      </c>
      <c r="M3" s="23" t="inlineStr">
        <is>
          <t>BR01-MANDATORY-PASS</t>
        </is>
      </c>
      <c r="N3" s="23" t="n"/>
      <c r="O3" s="23" t="n"/>
      <c r="P3" s="23" t="n"/>
      <c r="Q3" s="23" t="n"/>
      <c r="R3" s="23" t="n"/>
      <c r="S3" s="23" t="n"/>
      <c r="T3" s="23" t="n"/>
      <c r="U3" s="23">
        <f>IF(R3&lt;&gt;"", R3, O3)</f>
        <v/>
      </c>
    </row>
    <row r="4" ht="96" customHeight="1" s="17">
      <c r="A4" s="23" t="inlineStr">
        <is>
          <t>5.1.1.4-BR01-NEG-002</t>
        </is>
      </c>
      <c r="B4" s="23" t="inlineStr">
        <is>
          <t>5.1.1.4 – II.5.1.1.4. Thêm mới code phí dành cho KHCN</t>
        </is>
      </c>
      <c r="C4" s="23" t="inlineStr">
        <is>
          <t>II.5.1.1.4 – Thêm mới code phí dành cho KHCN/CBNV</t>
        </is>
      </c>
      <c r="D4" s="23" t="inlineStr">
        <is>
          <t>Thiếu trường bắt buộc thì không cho xác nhận</t>
        </is>
      </c>
      <c r="E4" s="23" t="inlineStr">
        <is>
          <t>Negative</t>
        </is>
      </c>
      <c r="F4" s="23" t="inlineStr">
        <is>
          <t>Regression</t>
        </is>
      </c>
      <c r="G4" s="23" t="inlineStr">
        <is>
          <t>P1</t>
        </is>
      </c>
      <c r="H4" s="23" t="inlineStr">
        <is>
          <t>1. Vai trò: Maker.</t>
        </is>
      </c>
      <c r="I4" s="23" t="inlineStr">
        <is>
          <t>1. Mở form 'Thêm code phí'.
2. Bỏ trống ít nhất một trường bắt buộc (*).
3. Click 'Xác nhận'.</t>
        </is>
      </c>
      <c r="J4" s="23" t="inlineStr">
        <is>
          <t>(i) Hệ thống từ chối lưu dữ liệu.
(ii) Hiển thị cảnh báo Error chi tiết tại các trường còn thiếu.
(iii) Không sinh bản ghi mới trong Dashboard 'Tác vụ chờ duyệt'.</t>
        </is>
      </c>
      <c r="K4" s="23" t="inlineStr">
        <is>
          <t>II.5.1.1.4</t>
        </is>
      </c>
      <c r="L4" s="23" t="inlineStr">
        <is>
          <t>BR_01</t>
        </is>
      </c>
      <c r="M4" s="23" t="inlineStr">
        <is>
          <t>BR01-MANDATORY-BLOCK</t>
        </is>
      </c>
      <c r="N4" s="23" t="n"/>
      <c r="O4" s="23" t="n"/>
      <c r="P4" s="23" t="n"/>
      <c r="Q4" s="23" t="n"/>
      <c r="R4" s="23" t="n"/>
      <c r="S4" s="23" t="n"/>
      <c r="T4" s="23" t="n"/>
      <c r="U4" s="23">
        <f>IF(R4&lt;&gt;"", R4, O4)</f>
        <v/>
      </c>
    </row>
    <row r="5" ht="96" customHeight="1" s="17">
      <c r="A5" s="23" t="inlineStr">
        <is>
          <t>5.1.1.4-BR02-NEG-001</t>
        </is>
      </c>
      <c r="B5" s="23" t="inlineStr">
        <is>
          <t>5.1.1.4 – II.5.1.1.4. Thêm mới code phí dành cho KHCN</t>
        </is>
      </c>
      <c r="C5" s="23" t="inlineStr">
        <is>
          <t>II.5.1.1.4 – Thêm mới code phí dành cho KHCN/CBNV</t>
        </is>
      </c>
      <c r="D5" s="23" t="inlineStr">
        <is>
          <t>Bấm 'Đóng' thì không lưu dữ liệu vừa nhập</t>
        </is>
      </c>
      <c r="E5" s="23" t="inlineStr">
        <is>
          <t>Negative</t>
        </is>
      </c>
      <c r="F5" s="23" t="inlineStr">
        <is>
          <t>Regression</t>
        </is>
      </c>
      <c r="G5" s="23" t="inlineStr">
        <is>
          <t>P2</t>
        </is>
      </c>
      <c r="H5" s="23" t="inlineStr">
        <is>
          <t>1. Đang ở form 'Thêm code phí' và đã nhập dữ liệu.</t>
        </is>
      </c>
      <c r="I5" s="23" t="inlineStr">
        <is>
          <t>1. Tại form 'Thêm code phí', nhập dữ liệu vào vài trường bất kỳ.
2. Click nút 'Đóng'.
3. Click 'Xác nhận' đóng (nếu có confirm).
4. Mở lại đúng form đó từ cùng SPDV.</t>
        </is>
      </c>
      <c r="J5" s="23" t="inlineStr">
        <is>
          <t>(i) Hệ thống điều hướng về màn hình chi tiết SP trước đó.
(ii) Khi mở lại: Toàn bộ dữ liệu vừa nhập bị mất, form quay về trạng thái mặc định.
(iii) Không sinh tác vụ chờ duyệt.</t>
        </is>
      </c>
      <c r="K5" s="23" t="inlineStr">
        <is>
          <t>II.5.1.1.4</t>
        </is>
      </c>
      <c r="L5" s="23" t="inlineStr">
        <is>
          <t>BR_02</t>
        </is>
      </c>
      <c r="M5" s="23" t="inlineStr">
        <is>
          <t>BR02-CLOSE-NOSAVE</t>
        </is>
      </c>
      <c r="N5" s="23" t="n"/>
      <c r="O5" s="23" t="n"/>
      <c r="P5" s="23" t="n"/>
      <c r="Q5" s="23" t="n"/>
      <c r="R5" s="23" t="n"/>
      <c r="S5" s="23" t="n"/>
      <c r="T5" s="23" t="n"/>
      <c r="U5" s="23">
        <f>IF(R5&lt;&gt;"", R5, O5)</f>
        <v/>
      </c>
    </row>
    <row r="6" ht="96" customHeight="1" s="17">
      <c r="A6" s="23" t="inlineStr">
        <is>
          <t>5.1.1.4-BR03-HAPPY-001</t>
        </is>
      </c>
      <c r="B6" s="23" t="inlineStr">
        <is>
          <t>5.1.1.4 – II.5.1.1.4. Thêm mới code phí dành cho KHCN</t>
        </is>
      </c>
      <c r="C6" s="23" t="inlineStr">
        <is>
          <t>II.5.1.1.4 – Thêm mới code phí dành cho KHCN/CBNV</t>
        </is>
      </c>
      <c r="D6" s="23" t="inlineStr">
        <is>
          <t>Loại tính phí: chỉ 1 chọn và hiển thị đúng phân vùng</t>
        </is>
      </c>
      <c r="E6" s="23" t="inlineStr">
        <is>
          <t>Happy</t>
        </is>
      </c>
      <c r="F6" s="23" t="inlineStr">
        <is>
          <t>Regression</t>
        </is>
      </c>
      <c r="G6" s="23" t="inlineStr">
        <is>
          <t>P1</t>
        </is>
      </c>
      <c r="H6" s="23" t="inlineStr">
        <is>
          <t>1. Tại form thêm mới.</t>
        </is>
      </c>
      <c r="I6" s="23" t="inlineStr">
        <is>
          <t>1. Quan sát 'Loại tính phí'.
2a. Chọn 'Theo giao dịch'.
2b. Chuyển 'Định kỳ'.</t>
        </is>
      </c>
      <c r="J6" s="23" t="inlineStr">
        <is>
          <t>(i) Single-select.
(ii) Theo giao dịch: hiện vùng KH &amp; Giao dịch.
(iii) Định kỳ: hiện KH, Tài khoản &amp; Thẻ.
(iv) Ẩn vùng không liên quan</t>
        </is>
      </c>
      <c r="K6" s="23" t="inlineStr">
        <is>
          <t>II.5.1.1.4</t>
        </is>
      </c>
      <c r="L6" s="23" t="inlineStr">
        <is>
          <t>BR_03</t>
        </is>
      </c>
      <c r="M6" s="23" t="inlineStr">
        <is>
          <t>BR03-FEETYPE-TOGGLE</t>
        </is>
      </c>
      <c r="N6" s="23" t="n"/>
      <c r="O6" s="23" t="n"/>
      <c r="P6" s="23" t="n"/>
      <c r="Q6" s="23" t="n"/>
      <c r="R6" s="23" t="n"/>
      <c r="S6" s="23" t="n"/>
      <c r="T6" s="23" t="n"/>
      <c r="U6" s="23">
        <f>IF(R6&lt;&gt;"", R6, O6)</f>
        <v/>
      </c>
    </row>
    <row r="7" ht="96" customHeight="1" s="17">
      <c r="A7" s="23" t="inlineStr">
        <is>
          <t>5.1.1.4-BR04-HAPPY-001</t>
        </is>
      </c>
      <c r="B7" s="23" t="inlineStr">
        <is>
          <t>5.1.1.4 – II.5.1.1.4. Thêm mới code phí dành cho KHCN</t>
        </is>
      </c>
      <c r="C7" s="23" t="inlineStr">
        <is>
          <t>II.5.1.1.4 – Thêm mới code phí dành cho KHCN/CBNV</t>
        </is>
      </c>
      <c r="D7" s="23" t="inlineStr">
        <is>
          <t>Dropdown công thức chỉ hiển thị bản đã phê duyệt</t>
        </is>
      </c>
      <c r="E7" s="23" t="inlineStr">
        <is>
          <t>Happy</t>
        </is>
      </c>
      <c r="F7" s="23" t="inlineStr">
        <is>
          <t>Regression</t>
        </is>
      </c>
      <c r="G7" s="23" t="inlineStr">
        <is>
          <t>P1</t>
        </is>
      </c>
      <c r="H7" s="23" t="inlineStr">
        <is>
          <t>1. Có 1 công thức 'Đã duyệt' và 1 công thức 'Nháp/Chờ duyệt'.</t>
        </is>
      </c>
      <c r="I7" s="23" t="inlineStr">
        <is>
          <t>1. Mở dropdown 'Công thức tính phí'.</t>
        </is>
      </c>
      <c r="J7" s="23" t="inlineStr">
        <is>
          <t>(i) Chỉ thấy bản 'Đã duyệt';
(ii) Không thấy trạng thái khác;
(iii) Chỉ chọn được 1</t>
        </is>
      </c>
      <c r="K7" s="23" t="inlineStr">
        <is>
          <t>II.5.1.1.4</t>
        </is>
      </c>
      <c r="L7" s="23" t="inlineStr">
        <is>
          <t>BR_04, BR_05</t>
        </is>
      </c>
      <c r="M7" s="23" t="inlineStr">
        <is>
          <t>BR04-FORMULA-FILTER</t>
        </is>
      </c>
      <c r="N7" s="23" t="n"/>
      <c r="O7" s="23" t="n"/>
      <c r="P7" s="23" t="n"/>
      <c r="Q7" s="23" t="n"/>
      <c r="R7" s="23" t="n"/>
      <c r="S7" s="23" t="n"/>
      <c r="T7" s="23" t="n"/>
      <c r="U7" s="23">
        <f>IF(R7&lt;&gt;"", R7, O7)</f>
        <v/>
      </c>
    </row>
    <row r="8" ht="96" customHeight="1" s="17">
      <c r="A8" s="23" t="inlineStr">
        <is>
          <t>5.1.1.4-BR05-NEG-002</t>
        </is>
      </c>
      <c r="B8" s="23" t="inlineStr">
        <is>
          <t>5.1.1.4 – II.5.1.1.4. Thêm mới code phí dành cho KHCN</t>
        </is>
      </c>
      <c r="C8" s="23" t="inlineStr">
        <is>
          <t>II.5.1.1.4 – Thêm mới code phí dành cho KHCN/CBNV</t>
        </is>
      </c>
      <c r="D8" s="23" t="inlineStr">
        <is>
          <t>Chặn áp dụng &gt;1 công thức cho 1 Code phí</t>
        </is>
      </c>
      <c r="E8" s="23" t="inlineStr">
        <is>
          <t>Negative</t>
        </is>
      </c>
      <c r="F8" s="23" t="inlineStr">
        <is>
          <t>Regression</t>
        </is>
      </c>
      <c r="G8" s="23" t="inlineStr">
        <is>
          <t>P2</t>
        </is>
      </c>
      <c r="H8" s="23" t="inlineStr">
        <is>
          <t>1. &gt;=2 công thức đã duyệt.</t>
        </is>
      </c>
      <c r="I8" s="23" t="inlineStr">
        <is>
          <t>1. Chọn công thức A.
2. Thử chọn thêm công thức B đồng thời.</t>
        </is>
      </c>
      <c r="J8" s="23" t="inlineStr">
        <is>
          <t>(i) Single-select chặn multi-select;
(ii) Không lưu nếu &gt;1;
(iii) Có cảnh báo</t>
        </is>
      </c>
      <c r="K8" s="23" t="inlineStr">
        <is>
          <t>II.5.1.1.4</t>
        </is>
      </c>
      <c r="L8" s="23" t="inlineStr">
        <is>
          <t>BR_05</t>
        </is>
      </c>
      <c r="M8" s="23" t="inlineStr">
        <is>
          <t>BR05-ONE-FORMULA</t>
        </is>
      </c>
      <c r="N8" s="23" t="n"/>
      <c r="O8" s="23" t="n"/>
      <c r="P8" s="23" t="n"/>
      <c r="Q8" s="23" t="n"/>
      <c r="R8" s="23" t="n"/>
      <c r="S8" s="23" t="n"/>
      <c r="T8" s="23" t="n"/>
      <c r="U8" s="23">
        <f>IF(R8&lt;&gt;"", R8, O8)</f>
        <v/>
      </c>
    </row>
    <row r="9" ht="96" customHeight="1" s="17">
      <c r="A9" s="23" t="inlineStr">
        <is>
          <t>5.1.1.4-BR06-HAPPY-001</t>
        </is>
      </c>
      <c r="B9" s="23" t="inlineStr">
        <is>
          <t>5.1.1.4 – II.5.1.1.4. Thêm mới code phí dành cho KHCN</t>
        </is>
      </c>
      <c r="C9" s="23" t="inlineStr">
        <is>
          <t>II.5.1.1.4 – Thêm mới code phí dành cho KHCN/CBNV</t>
        </is>
      </c>
      <c r="D9" s="23" t="inlineStr">
        <is>
          <t>KHCN: hiển thị đầy đủ danh sách segment</t>
        </is>
      </c>
      <c r="E9" s="23" t="inlineStr">
        <is>
          <t>Happy</t>
        </is>
      </c>
      <c r="F9" s="23" t="inlineStr">
        <is>
          <t>Smoke</t>
        </is>
      </c>
      <c r="G9" s="23" t="inlineStr">
        <is>
          <t>P1</t>
        </is>
      </c>
      <c r="H9" s="23" t="inlineStr">
        <is>
          <t>1. Loại khách hàng = KHCN.</t>
        </is>
      </c>
      <c r="I9" s="23" t="inlineStr">
        <is>
          <t>1. Quan sát phân vùng Quy tắc tính phí.</t>
        </is>
      </c>
      <c r="J9" s="23" t="inlineStr">
        <is>
          <t>(i) Đủ segment theo URD;
(ii) Cho phép khai báo mức phí theo segment</t>
        </is>
      </c>
      <c r="K9" s="23" t="inlineStr">
        <is>
          <t>II.5.1.1.4</t>
        </is>
      </c>
      <c r="L9" s="23" t="inlineStr">
        <is>
          <t>BR_06</t>
        </is>
      </c>
      <c r="M9" s="23" t="inlineStr">
        <is>
          <t>BR06-SEGMENT-KHCN</t>
        </is>
      </c>
      <c r="N9" s="23" t="n"/>
      <c r="O9" s="23" t="n"/>
      <c r="P9" s="23" t="n"/>
      <c r="Q9" s="23" t="n"/>
      <c r="R9" s="23" t="n"/>
      <c r="S9" s="23" t="n"/>
      <c r="T9" s="23" t="n"/>
      <c r="U9" s="23">
        <f>IF(R9&lt;&gt;"", R9, O9)</f>
        <v/>
      </c>
    </row>
    <row r="10" ht="96" customHeight="1" s="17">
      <c r="A10" s="23" t="inlineStr">
        <is>
          <t>5.1.1.4-BR06-HAPPY-002</t>
        </is>
      </c>
      <c r="B10" s="23" t="inlineStr">
        <is>
          <t>5.1.1.4 – II.5.1.1.4. Thêm mới code phí dành cho KHCN</t>
        </is>
      </c>
      <c r="C10" s="23" t="inlineStr">
        <is>
          <t>II.5.1.1.4 – Thêm mới code phí dành cho KHCN/CBNV</t>
        </is>
      </c>
      <c r="D10" s="23" t="inlineStr">
        <is>
          <t>CBNV: không hiển thị segment, phí áp dụng chung</t>
        </is>
      </c>
      <c r="E10" s="23" t="inlineStr">
        <is>
          <t>Happy</t>
        </is>
      </c>
      <c r="F10" s="23" t="inlineStr">
        <is>
          <t>Regression</t>
        </is>
      </c>
      <c r="G10" s="23" t="inlineStr">
        <is>
          <t>P2</t>
        </is>
      </c>
      <c r="H10" s="23" t="inlineStr">
        <is>
          <t>1. Loại khách hàng = CBNV.</t>
        </is>
      </c>
      <c r="I10" s="23" t="inlineStr">
        <is>
          <t>1. Quan sát phân vùng Quy tắc tính phí.</t>
        </is>
      </c>
      <c r="J10" s="23" t="inlineStr">
        <is>
          <t>(i) Không có danh sách segment;
(ii) Mức phí áp dụng chung</t>
        </is>
      </c>
      <c r="K10" s="23" t="inlineStr">
        <is>
          <t>II.5.1.1.4</t>
        </is>
      </c>
      <c r="L10" s="23" t="inlineStr">
        <is>
          <t>BR_06</t>
        </is>
      </c>
      <c r="M10" s="23" t="inlineStr">
        <is>
          <t>BR06-SEGMENT-CBNV</t>
        </is>
      </c>
      <c r="N10" s="23" t="n"/>
      <c r="O10" s="23" t="n"/>
      <c r="P10" s="23" t="n"/>
      <c r="Q10" s="23" t="n"/>
      <c r="R10" s="23" t="n"/>
      <c r="S10" s="23" t="n"/>
      <c r="T10" s="23" t="n"/>
      <c r="U10" s="23">
        <f>IF(R10&lt;&gt;"", R10, O10)</f>
        <v/>
      </c>
    </row>
    <row r="11" ht="96" customHeight="1" s="17">
      <c r="A11" s="23" t="inlineStr">
        <is>
          <t>5.1.1.4-BR07-NEG-001</t>
        </is>
      </c>
      <c r="B11" s="23" t="inlineStr">
        <is>
          <t>5.1.1.4 – II.5.1.1.4. Thêm mới code phí dành cho KHCN</t>
        </is>
      </c>
      <c r="C11" s="23" t="inlineStr">
        <is>
          <t>II.5.1.1.4 – Thêm mới code phí dành cho KHCN/CBNV</t>
        </is>
      </c>
      <c r="D11" s="23" t="inlineStr">
        <is>
          <t>Từ chối khi Mã code phí bị trùng</t>
        </is>
      </c>
      <c r="E11" s="23" t="inlineStr">
        <is>
          <t>Negative</t>
        </is>
      </c>
      <c r="F11" s="23" t="inlineStr">
        <is>
          <t>Smoke</t>
        </is>
      </c>
      <c r="G11" s="23" t="inlineStr">
        <is>
          <t>P1</t>
        </is>
      </c>
      <c r="H11" s="23" t="inlineStr">
        <is>
          <t>1. Đã tồn tại mã 'XXXX_YYYY_001'.</t>
        </is>
      </c>
      <c r="I11" s="23" t="inlineStr">
        <is>
          <t>1. Tạo mới dẫn tới sinh mã trùng.
2. Bấm 'Xác nhận'.</t>
        </is>
      </c>
      <c r="J11" s="23" t="inlineStr">
        <is>
          <t>(i) Phát hiện trùng; từ chối;
(ii) Thông báo rõ ràng;
(iii) Không tạo tác vụ</t>
        </is>
      </c>
      <c r="K11" s="23" t="inlineStr">
        <is>
          <t>II.5.1.1.4</t>
        </is>
      </c>
      <c r="L11" s="23" t="inlineStr">
        <is>
          <t>BR_07</t>
        </is>
      </c>
      <c r="M11" s="23" t="inlineStr">
        <is>
          <t>BR07-UNIQUE-COLLISION</t>
        </is>
      </c>
      <c r="N11" s="23" t="n"/>
      <c r="O11" s="23" t="n"/>
      <c r="P11" s="23" t="n"/>
      <c r="Q11" s="23" t="n"/>
      <c r="R11" s="23" t="n"/>
      <c r="S11" s="23" t="n"/>
      <c r="T11" s="23" t="n"/>
      <c r="U11" s="23">
        <f>IF(R11&lt;&gt;"", R11, O11)</f>
        <v/>
      </c>
    </row>
    <row r="12" ht="96" customHeight="1" s="17">
      <c r="A12" s="23" t="inlineStr">
        <is>
          <t>5.1.1.4-BR08-HAPPY-001</t>
        </is>
      </c>
      <c r="B12" s="23" t="inlineStr">
        <is>
          <t>5.1.1.4 – II.5.1.1.4. Thêm mới code phí dành cho KHCN</t>
        </is>
      </c>
      <c r="C12" s="23" t="inlineStr">
        <is>
          <t>II.5.1.1.4 – Thêm mới code phí dành cho KHCN/CBNV</t>
        </is>
      </c>
      <c r="D12" s="23" t="inlineStr">
        <is>
          <t>Sinh mã đúng độ dài/loại ký tự/cấu trúc</t>
        </is>
      </c>
      <c r="E12" s="23" t="inlineStr">
        <is>
          <t>Happy</t>
        </is>
      </c>
      <c r="F12" s="23" t="inlineStr">
        <is>
          <t>Smoke</t>
        </is>
      </c>
      <c r="G12" s="23" t="inlineStr">
        <is>
          <t>P1</t>
        </is>
      </c>
      <c r="H12" s="23" t="inlineStr">
        <is>
          <t>1. Có SPDV cấp 2 &amp; cấp cuối hợp lệ.</t>
        </is>
      </c>
      <c r="I12" s="23" t="inlineStr">
        <is>
          <t>1. Tạo mới Code phí.
2. Ghi nhận mã sinh ra.</t>
        </is>
      </c>
      <c r="J12" s="23" t="inlineStr">
        <is>
          <t>(i) Chữ+số, không space.
(ii) Cấu trúc [Phân khúc]_[Nhóm]_[Thứ tự].
(iii) Tổng độ dài theo quy tắc (URD ghi 11).
(iv) Thành phần tuân BR_09
[v0.9] Mã code phí là mã HỆ THỐNG TỰ SINH, người dùng không được nhập thủ công.</t>
        </is>
      </c>
      <c r="K12" s="23" t="inlineStr">
        <is>
          <t>II.5.1.1.4</t>
        </is>
      </c>
      <c r="L12" s="23" t="inlineStr">
        <is>
          <t>BR_08, BR_09, BR_10</t>
        </is>
      </c>
      <c r="M12" s="23" t="inlineStr">
        <is>
          <t>BR08-CODE-FORMAT</t>
        </is>
      </c>
      <c r="N12" s="23" t="inlineStr">
        <is>
          <t>[v0.9-UPD] BR_08: mã tự sinh</t>
        </is>
      </c>
      <c r="O12" s="23" t="n"/>
      <c r="P12" s="23" t="n"/>
      <c r="Q12" s="23" t="n"/>
      <c r="R12" s="23" t="n"/>
      <c r="S12" s="23" t="n"/>
      <c r="T12" s="23" t="n"/>
      <c r="U12" s="23">
        <f>IF(R12&lt;&gt;"", R12, O12)</f>
        <v/>
      </c>
    </row>
    <row r="13" ht="96" customHeight="1" s="17">
      <c r="A13" s="23" t="inlineStr">
        <is>
          <t>5.1.1.4-BR09-HAPPY-002</t>
        </is>
      </c>
      <c r="B13" s="23" t="inlineStr">
        <is>
          <t>5.1.1.4 – II.5.1.1.4. Thêm mới code phí dành cho KHCN</t>
        </is>
      </c>
      <c r="C13" s="23" t="inlineStr">
        <is>
          <t>II.5.1.1.4 – Thêm mới code phí dành cho KHCN/CBNV</t>
        </is>
      </c>
      <c r="D13" s="23" t="inlineStr">
        <is>
          <t>Sinh đúng 3 thành phần &amp; tự tăng Thứ tự</t>
        </is>
      </c>
      <c r="E13" s="23" t="inlineStr">
        <is>
          <t>Happy</t>
        </is>
      </c>
      <c r="F13" s="23" t="inlineStr">
        <is>
          <t>Regression</t>
        </is>
      </c>
      <c r="G13" s="23" t="inlineStr">
        <is>
          <t>P1</t>
        </is>
      </c>
      <c r="H13" s="23" t="inlineStr">
        <is>
          <t>1. Cùng phân khúc &amp; Nhóm SPDV đã có mã _008.</t>
        </is>
      </c>
      <c r="I13" s="23" t="inlineStr">
        <is>
          <t>1. Tạo mới cùng phân loại.
2. Quan sát 'Thứ tự'.</t>
        </is>
      </c>
      <c r="J13" s="23" t="inlineStr">
        <is>
          <t>(i) Phân khúc = 4 ký tự in hoa theo Loại KH;
(ii) Nhóm SPDV = 4 ký tự in hoa (4 chữ cái đầu tên SPDV cấp 2);
(iii) Thứ tự tự tăng 009 (001..999)</t>
        </is>
      </c>
      <c r="K13" s="23" t="inlineStr">
        <is>
          <t>II.5.1.1.4</t>
        </is>
      </c>
      <c r="L13" s="23" t="inlineStr">
        <is>
          <t>BR_09</t>
        </is>
      </c>
      <c r="M13" s="23" t="inlineStr">
        <is>
          <t>BR09-AUTOINC</t>
        </is>
      </c>
      <c r="N13" s="23" t="n"/>
      <c r="O13" s="23" t="n"/>
      <c r="P13" s="23" t="n"/>
      <c r="Q13" s="23" t="n"/>
      <c r="R13" s="23" t="n"/>
      <c r="S13" s="23" t="n"/>
      <c r="T13" s="23" t="n"/>
      <c r="U13" s="23">
        <f>IF(R13&lt;&gt;"", R13, O13)</f>
        <v/>
      </c>
    </row>
    <row r="14" ht="96" customHeight="1" s="17">
      <c r="A14" s="23" t="inlineStr">
        <is>
          <t>5.1.1.4-BR09-NEG-003</t>
        </is>
      </c>
      <c r="B14" s="23" t="inlineStr">
        <is>
          <t>5.1.1.4 – II.5.1.1.4. Thêm mới code phí dành cho KHCN</t>
        </is>
      </c>
      <c r="C14" s="23" t="inlineStr">
        <is>
          <t>II.5.1.1.4 – Thêm mới code phí dành cho KHCN/CBNV</t>
        </is>
      </c>
      <c r="D14" s="23" t="inlineStr">
        <is>
          <t>Chặn khi Thứ tự vượt quá 999</t>
        </is>
      </c>
      <c r="E14" s="23" t="inlineStr">
        <is>
          <t>Negative</t>
        </is>
      </c>
      <c r="F14" s="23" t="inlineStr">
        <is>
          <t>Regression</t>
        </is>
      </c>
      <c r="G14" s="23" t="inlineStr">
        <is>
          <t>P2</t>
        </is>
      </c>
      <c r="H14" s="23" t="inlineStr">
        <is>
          <t>1. Đã có 999 mã (001 cùng phân loại.</t>
        </is>
      </c>
      <c r="I14" s="23" t="inlineStr">
        <is>
          <t>1. Tạo mã thứ
1000.
2. 'Xác nhận'.</t>
        </is>
      </c>
      <c r="J14" s="23" t="inlineStr">
        <is>
          <t>(i) Từ chối;
(ii) Thông báo đạt giới hạn 999</t>
        </is>
      </c>
      <c r="K14" s="23" t="inlineStr">
        <is>
          <t>II.5.1.1.4</t>
        </is>
      </c>
      <c r="L14" s="23" t="inlineStr">
        <is>
          <t>BR_09</t>
        </is>
      </c>
      <c r="M14" s="23" t="inlineStr">
        <is>
          <t>BR09-ORDER-LIMIT</t>
        </is>
      </c>
      <c r="N14" s="23" t="n"/>
      <c r="O14" s="23" t="n"/>
      <c r="P14" s="23" t="n"/>
      <c r="Q14" s="23" t="n"/>
      <c r="R14" s="23" t="n"/>
      <c r="S14" s="23" t="n"/>
      <c r="T14" s="23" t="n"/>
      <c r="U14" s="23">
        <f>IF(R14&lt;&gt;"", R14, O14)</f>
        <v/>
      </c>
    </row>
    <row r="15" ht="96" customHeight="1" s="17">
      <c r="A15" s="23" t="inlineStr">
        <is>
          <t>5.1.1.4-BR10-HAPPY-001</t>
        </is>
      </c>
      <c r="B15" s="23" t="inlineStr">
        <is>
          <t>5.1.1.4 – II.5.1.1.4. Thêm mới code phí dành cho KHCN</t>
        </is>
      </c>
      <c r="C15" s="23" t="inlineStr">
        <is>
          <t>II.5.1.1.4 – Thêm mới code phí dành cho KHCN/CBNV</t>
        </is>
      </c>
      <c r="D15" s="23" t="inlineStr">
        <is>
          <t>Trường 'Mã code phí' readonly</t>
        </is>
      </c>
      <c r="E15" s="23" t="inlineStr">
        <is>
          <t>Happy</t>
        </is>
      </c>
      <c r="F15" s="23" t="inlineStr">
        <is>
          <t>Smoke</t>
        </is>
      </c>
      <c r="G15" s="23" t="inlineStr">
        <is>
          <t>P2</t>
        </is>
      </c>
      <c r="H15" s="23" t="inlineStr">
        <is>
          <t>1. Đã sinh mã trong form.</t>
        </is>
      </c>
      <c r="I15" s="23" t="inlineStr">
        <is>
          <t>1. Cố sửa giá trị trường 'Mã code phí'.</t>
        </is>
      </c>
      <c r="J15" s="23" t="inlineStr">
        <is>
          <t>(i) Readonly/disabled; không thể thay đổi</t>
        </is>
      </c>
      <c r="K15" s="23" t="inlineStr">
        <is>
          <t>II.5.1.1.4</t>
        </is>
      </c>
      <c r="L15" s="23" t="inlineStr">
        <is>
          <t>BR_10</t>
        </is>
      </c>
      <c r="M15" s="23" t="inlineStr">
        <is>
          <t>BR10-READONLY</t>
        </is>
      </c>
      <c r="N15" s="23" t="n"/>
      <c r="O15" s="23" t="n"/>
      <c r="P15" s="23" t="n"/>
      <c r="Q15" s="23" t="n"/>
      <c r="R15" s="23" t="n"/>
      <c r="S15" s="23" t="n"/>
      <c r="T15" s="23" t="n"/>
      <c r="U15" s="23">
        <f>IF(R15&lt;&gt;"", R15, O15)</f>
        <v/>
      </c>
    </row>
    <row r="16" ht="96" customHeight="1" s="17">
      <c r="A16" s="23" t="inlineStr">
        <is>
          <t>5.1.1.4-BR11-HAPPY-001</t>
        </is>
      </c>
      <c r="B16" s="23" t="inlineStr">
        <is>
          <t>5.1.1.4 – II.5.1.1.4. Thêm mới code phí dành cho KHCN</t>
        </is>
      </c>
      <c r="C16" s="23" t="inlineStr">
        <is>
          <t>II.5.1.1.4 – Thêm mới code phí dành cho KHCN/CBNV</t>
        </is>
      </c>
      <c r="D16" s="23" t="inlineStr">
        <is>
          <t>Chưa duyệt: không hiển thị trên cây SPDV</t>
        </is>
      </c>
      <c r="E16" s="23" t="inlineStr">
        <is>
          <t>Happy</t>
        </is>
      </c>
      <c r="F16" s="23" t="inlineStr">
        <is>
          <t>Regression</t>
        </is>
      </c>
      <c r="G16" s="23" t="inlineStr">
        <is>
          <t>P1</t>
        </is>
      </c>
      <c r="H16" s="23" t="inlineStr">
        <is>
          <t>1. Đã tạo code phí trạng thái 'Chờ duyệt'.</t>
        </is>
      </c>
      <c r="I16" s="23" t="inlineStr">
        <is>
          <t>1. Mở cây SPDV.
2. Tìm bản ghi vừa tạo.</t>
        </is>
      </c>
      <c r="J16" s="23" t="inlineStr">
        <is>
          <t>(i) Không thấy trên cây;
(ii) Chỉ thấy ở 'Tác vụ chờ duyệt'</t>
        </is>
      </c>
      <c r="K16" s="23" t="inlineStr">
        <is>
          <t>II.5.1.1.4</t>
        </is>
      </c>
      <c r="L16" s="23" t="inlineStr">
        <is>
          <t>BR_11, BR_14</t>
        </is>
      </c>
      <c r="M16" s="23" t="inlineStr">
        <is>
          <t>BR11-HIDE-TREE</t>
        </is>
      </c>
      <c r="N16" s="23" t="n"/>
      <c r="O16" s="23" t="n"/>
      <c r="P16" s="23" t="n"/>
      <c r="Q16" s="23" t="n"/>
      <c r="R16" s="23" t="n"/>
      <c r="S16" s="23" t="n"/>
      <c r="T16" s="23" t="n"/>
      <c r="U16" s="23">
        <f>IF(R16&lt;&gt;"", R16, O16)</f>
        <v/>
      </c>
    </row>
    <row r="17" ht="96" customHeight="1" s="17">
      <c r="A17" s="23" t="inlineStr">
        <is>
          <t>5.1.1.4-BR12-CALC-001</t>
        </is>
      </c>
      <c r="B17" s="23" t="inlineStr">
        <is>
          <t>5.1.1.4 – II.5.1.1.4. Thêm mới code phí dành cho KHCN</t>
        </is>
      </c>
      <c r="C17" s="23" t="inlineStr">
        <is>
          <t>II.5.1.1.4 – Thêm mới code phí dành cho KHCN/CBNV</t>
        </is>
      </c>
      <c r="D17" s="23" t="inlineStr">
        <is>
          <t>So sánh phí với min/max sau quy đổi loại tiền</t>
        </is>
      </c>
      <c r="E17" s="23" t="inlineStr">
        <is>
          <t>Calculation</t>
        </is>
      </c>
      <c r="F17" s="23" t="inlineStr">
        <is>
          <t>Regression</t>
        </is>
      </c>
      <c r="G17" s="23" t="inlineStr">
        <is>
          <t>P2</t>
        </is>
      </c>
      <c r="H17" s="23" t="inlineStr">
        <is>
          <t>1. Loại tiền Code phí = A ngưỡng min/max khai báo loại tiền B có tỷ giá tại thời điểm T.</t>
        </is>
      </c>
      <c r="I17" s="23" t="inlineStr">
        <is>
          <t>1. Lưu code phí với min/max ở B.
2. Tính thử mức phí tại T.
3. Ghi nhận tỷ giá hệ thống.</t>
        </is>
      </c>
      <c r="J17" s="23" t="inlineStr">
        <is>
          <t>(i) Min/max được quy đổi về A theo tỷ giá tại T;
(ii) So sánh dựa trên min/max đã quy đổi;
(iii) Log thể hiện tỷ giá dùng</t>
        </is>
      </c>
      <c r="K17" s="23" t="inlineStr">
        <is>
          <t>II.5.1.1.4</t>
        </is>
      </c>
      <c r="L17" s="23" t="inlineStr">
        <is>
          <t>BR_12</t>
        </is>
      </c>
      <c r="M17" s="23" t="inlineStr">
        <is>
          <t>BR12-FX-CONVERT</t>
        </is>
      </c>
      <c r="N17" s="23" t="inlineStr">
        <is>
          <t>Theo bối cảnh: Versioning C</t>
        </is>
      </c>
      <c r="O17" s="23" t="n"/>
      <c r="P17" s="23" t="n"/>
      <c r="Q17" s="23" t="n"/>
      <c r="R17" s="23" t="n"/>
      <c r="S17" s="23" t="n"/>
      <c r="T17" s="23" t="n"/>
      <c r="U17" s="23">
        <f>IF(R17&lt;&gt;"", R17, O17)</f>
        <v/>
      </c>
    </row>
    <row r="18" ht="96" customHeight="1" s="17">
      <c r="A18" s="23" t="inlineStr">
        <is>
          <t>5.1.1.4-BR13-CALC-001</t>
        </is>
      </c>
      <c r="B18" s="23" t="inlineStr">
        <is>
          <t>5.1.1.4 – II.5.1.1.4. Thêm mới code phí dành cho KHCN</t>
        </is>
      </c>
      <c r="C18" s="23" t="inlineStr">
        <is>
          <t>II.5.1.1.4 – Thêm mới code phí dành cho KHCN/CBNV</t>
        </is>
      </c>
      <c r="D18" s="23" t="inlineStr">
        <is>
          <t>VAT: đã bao gồm (Included)</t>
        </is>
      </c>
      <c r="E18" s="23" t="inlineStr">
        <is>
          <t>Calculation</t>
        </is>
      </c>
      <c r="F18" s="23" t="inlineStr">
        <is>
          <t>Smoke</t>
        </is>
      </c>
      <c r="G18" s="23" t="inlineStr">
        <is>
          <t>P1</t>
        </is>
      </c>
      <c r="H18" s="23" t="inlineStr">
        <is>
          <t>1. Mức phí khai báo = F %VAT = V.</t>
        </is>
      </c>
      <c r="I18" s="23" t="inlineStr">
        <is>
          <t>1. Tích 'Đã bao gồm VAT'.
2. Tính thử phí.</t>
        </is>
      </c>
      <c r="J18" s="23" t="inlineStr">
        <is>
          <t>(i) Phí thu KH = F;
(ii) Log thể hiện 'Included VAT'</t>
        </is>
      </c>
      <c r="K18" s="23" t="inlineStr">
        <is>
          <t>II.5.1.1.4</t>
        </is>
      </c>
      <c r="L18" s="23" t="inlineStr">
        <is>
          <t>BR_13</t>
        </is>
      </c>
      <c r="M18" s="23" t="inlineStr">
        <is>
          <t>BR13-VAT-INCLUDED</t>
        </is>
      </c>
      <c r="N18" s="23" t="n"/>
      <c r="O18" s="23" t="n"/>
      <c r="P18" s="23" t="n"/>
      <c r="Q18" s="23" t="n"/>
      <c r="R18" s="23" t="n"/>
      <c r="S18" s="23" t="n"/>
      <c r="T18" s="23" t="n"/>
      <c r="U18" s="23">
        <f>IF(R18&lt;&gt;"", R18, O18)</f>
        <v/>
      </c>
    </row>
    <row r="19" ht="96" customHeight="1" s="17">
      <c r="A19" s="23" t="inlineStr">
        <is>
          <t>5.1.1.4-BR13-CALC-002</t>
        </is>
      </c>
      <c r="B19" s="23" t="inlineStr">
        <is>
          <t>5.1.1.4 – II.5.1.1.4. Thêm mới code phí dành cho KHCN</t>
        </is>
      </c>
      <c r="C19" s="23" t="inlineStr">
        <is>
          <t>II.5.1.1.4 – Thêm mới code phí dành cho KHCN/CBNV</t>
        </is>
      </c>
      <c r="D19" s="23" t="inlineStr">
        <is>
          <t>VAT: chưa bao gồm (Excluded)</t>
        </is>
      </c>
      <c r="E19" s="23" t="inlineStr">
        <is>
          <t>Calculation</t>
        </is>
      </c>
      <c r="F19" s="23" t="inlineStr">
        <is>
          <t>Regression</t>
        </is>
      </c>
      <c r="G19" s="23" t="inlineStr">
        <is>
          <t>P1</t>
        </is>
      </c>
      <c r="H19" s="23" t="inlineStr">
        <is>
          <t>1. Mức phí khai báo = F %VAT = V.</t>
        </is>
      </c>
      <c r="I19" s="23" t="inlineStr">
        <is>
          <t>1. Bỏ tích 'Đã bao gồm VAT'.
2. Tính thử phí.</t>
        </is>
      </c>
      <c r="J19" s="23" t="inlineStr">
        <is>
          <t>(i) Phí thu KH = F + V%*F;
(ii) Log thể hiện 'Excluded VAT'</t>
        </is>
      </c>
      <c r="K19" s="23" t="inlineStr">
        <is>
          <t>II.5.1.1.4</t>
        </is>
      </c>
      <c r="L19" s="23" t="inlineStr">
        <is>
          <t>BR_13</t>
        </is>
      </c>
      <c r="M19" s="23" t="inlineStr">
        <is>
          <t>BR13-VAT-EXCLUDED</t>
        </is>
      </c>
      <c r="N19" s="23" t="n"/>
      <c r="O19" s="23" t="n"/>
      <c r="P19" s="23" t="n"/>
      <c r="Q19" s="23" t="n"/>
      <c r="R19" s="23" t="n"/>
      <c r="S19" s="23" t="n"/>
      <c r="T19" s="23" t="n"/>
      <c r="U19" s="23">
        <f>IF(R19&lt;&gt;"", R19, O19)</f>
        <v/>
      </c>
    </row>
    <row r="20" ht="96" customHeight="1" s="17">
      <c r="A20" s="23" t="inlineStr">
        <is>
          <t>5.1.1.4-BR14-HAPPY-001</t>
        </is>
      </c>
      <c r="B20" s="23" t="inlineStr">
        <is>
          <t>5.1.1.4 – II.5.1.1.4. Thêm mới code phí dành cho KHCN</t>
        </is>
      </c>
      <c r="C20" s="23" t="inlineStr">
        <is>
          <t>II.5.1.1.4 – Thêm mới code phí dành cho KHCN/CBNV</t>
        </is>
      </c>
      <c r="D20" s="23" t="inlineStr">
        <is>
          <t>Sau lưu: trạng thái 'Chờ duyệt' &amp; có trong 'Tác vụ chờ duyệt'</t>
        </is>
      </c>
      <c r="E20" s="23" t="inlineStr">
        <is>
          <t>Happy</t>
        </is>
      </c>
      <c r="F20" s="23" t="inlineStr">
        <is>
          <t>Smoke</t>
        </is>
      </c>
      <c r="G20" s="23" t="inlineStr">
        <is>
          <t>P1</t>
        </is>
      </c>
      <c r="H20" s="23" t="inlineStr">
        <is>
          <t>1. Đã lưu thành công code phí.</t>
        </is>
      </c>
      <c r="I20" s="23" t="inlineStr">
        <is>
          <t>1. Mở 'Tác vụ chờ duyệt'.
2. Tìm theo mã vừa tạo.</t>
        </is>
      </c>
      <c r="J20" s="23" t="inlineStr">
        <is>
          <t>(i) Có bản ghi;
(ii) Trạng thái = 'Chờ duyệt';
(iii) Hiển thị Mã, Ngày tạo, Người tạo</t>
        </is>
      </c>
      <c r="K20" s="23" t="inlineStr">
        <is>
          <t>II.5.1.1.4</t>
        </is>
      </c>
      <c r="L20" s="23" t="inlineStr">
        <is>
          <t>BR_14, BR_15, BR_16</t>
        </is>
      </c>
      <c r="M20" s="23" t="inlineStr">
        <is>
          <t>BR14-PENDING-TASK</t>
        </is>
      </c>
      <c r="N20" s="23" t="n"/>
      <c r="O20" s="23" t="n"/>
      <c r="P20" s="23" t="n"/>
      <c r="Q20" s="23" t="n"/>
      <c r="R20" s="23" t="n"/>
      <c r="S20" s="23" t="n"/>
      <c r="T20" s="23" t="n"/>
      <c r="U20" s="23">
        <f>IF(R20&lt;&gt;"", R20, O20)</f>
        <v/>
      </c>
    </row>
    <row r="21" ht="15.75" customHeight="1" s="17">
      <c r="A21" s="23" t="inlineStr">
        <is>
          <t>5.1.1.4-BR15-BOUND-001</t>
        </is>
      </c>
      <c r="B21" s="23" t="inlineStr">
        <is>
          <t>5.1.1.4 – II.5.1.1.4. Thêm mới code phí dành cho KHCN</t>
        </is>
      </c>
      <c r="C21" s="23" t="inlineStr">
        <is>
          <t>II.5.1.1.4 – Thêm mới code phí dành cho KHCN/CBNV</t>
        </is>
      </c>
      <c r="D21" s="23" t="inlineStr">
        <is>
          <t>Ngày tạo tự sinh &amp; đúng định dạng</t>
        </is>
      </c>
      <c r="E21" s="23" t="inlineStr">
        <is>
          <t>Boundary</t>
        </is>
      </c>
      <c r="F21" s="23" t="inlineStr">
        <is>
          <t>Regression</t>
        </is>
      </c>
      <c r="G21" s="23" t="inlineStr">
        <is>
          <t>P2</t>
        </is>
      </c>
      <c r="H21" s="23" t="inlineStr">
        <is>
          <t>1. Có bản ghi 'Chờ duyệt'.</t>
        </is>
      </c>
      <c r="I21" s="23" t="inlineStr">
        <is>
          <t>1. Mở chi tiết.
2. Ghi nhận 'Ngày tạo'.</t>
        </is>
      </c>
      <c r="J21" s="23" t="inlineStr">
        <is>
          <t>(i) Định dạng YYYY-MM-DD HH:MM:SS;
(ii) Trong ±60s thời điểm lưu</t>
        </is>
      </c>
      <c r="K21" s="23" t="inlineStr">
        <is>
          <t>II.5.1.1.4</t>
        </is>
      </c>
      <c r="L21" s="23" t="inlineStr">
        <is>
          <t>BR_15</t>
        </is>
      </c>
      <c r="M21" s="23" t="inlineStr">
        <is>
          <t>BR15-CREATED-AT</t>
        </is>
      </c>
      <c r="N21" s="23" t="n"/>
      <c r="O21" s="23" t="n"/>
      <c r="P21" s="23" t="n"/>
      <c r="Q21" s="23" t="n"/>
      <c r="R21" s="23" t="n"/>
      <c r="S21" s="23" t="n"/>
      <c r="T21" s="23" t="n"/>
      <c r="U21" s="23">
        <f>IF(R21&lt;&gt;"", R21, O21)</f>
        <v/>
      </c>
    </row>
    <row r="22" ht="15.75" customHeight="1" s="17">
      <c r="A22" s="23" t="inlineStr">
        <is>
          <t>5.1.1.4-BR16-HAPPY-001</t>
        </is>
      </c>
      <c r="B22" s="23" t="inlineStr">
        <is>
          <t>5.1.1.4 – II.5.1.1.4. Thêm mới code phí dành cho KHCN</t>
        </is>
      </c>
      <c r="C22" s="23" t="inlineStr">
        <is>
          <t>II.5.1.1.4 – Thêm mới code phí dành cho KHCN/CBNV</t>
        </is>
      </c>
      <c r="D22" s="23" t="inlineStr">
        <is>
          <t>Người tạo = username Maker</t>
        </is>
      </c>
      <c r="E22" s="23" t="inlineStr">
        <is>
          <t>Happy</t>
        </is>
      </c>
      <c r="F22" s="23" t="inlineStr">
        <is>
          <t>Regression</t>
        </is>
      </c>
      <c r="G22" s="23" t="inlineStr">
        <is>
          <t>P3</t>
        </is>
      </c>
      <c r="H22" s="23" t="inlineStr">
        <is>
          <t>1. Maker đăng nhập = U1 bản ghi do U1 tạo.</t>
        </is>
      </c>
      <c r="I22" s="23" t="inlineStr">
        <is>
          <t>1. Mở chi tiết bản ghi.
2. Quan sát 'Người tạo'.</t>
        </is>
      </c>
      <c r="J22" s="23" t="inlineStr">
        <is>
          <t>(i) Username = U1;
(ii) Read-only</t>
        </is>
      </c>
      <c r="K22" s="23" t="inlineStr">
        <is>
          <t>II.5.1.1.4</t>
        </is>
      </c>
      <c r="L22" s="23" t="inlineStr">
        <is>
          <t>BR_16</t>
        </is>
      </c>
      <c r="M22" s="23" t="inlineStr">
        <is>
          <t>BR16-CREATOR</t>
        </is>
      </c>
      <c r="N22" s="23" t="n"/>
      <c r="O22" s="23" t="n"/>
      <c r="P22" s="23" t="n"/>
      <c r="Q22" s="23" t="n"/>
      <c r="R22" s="23" t="n"/>
      <c r="S22" s="23" t="n"/>
      <c r="T22" s="23" t="n"/>
      <c r="U22" s="23">
        <f>IF(R22&lt;&gt;"", R22, O22)</f>
        <v/>
      </c>
    </row>
    <row r="23" ht="15.75" customHeight="1" s="17">
      <c r="A23" s="23" t="inlineStr">
        <is>
          <t>5.1.1.4-BR17-BOUND-001</t>
        </is>
      </c>
      <c r="B23" s="23" t="inlineStr">
        <is>
          <t>5.1.1.4 – II.5.1.1.4. Thêm mới code phí dành cho KHCN</t>
        </is>
      </c>
      <c r="C23" s="23" t="inlineStr">
        <is>
          <t>II.5.1.1.4 – Thêm mới code phí dành cho KHCN/CBNV</t>
        </is>
      </c>
      <c r="D23" s="23" t="inlineStr">
        <is>
          <t>Chấp nhận mức phí = 0 (miễn phí)</t>
        </is>
      </c>
      <c r="E23" s="23" t="inlineStr">
        <is>
          <t>Boundary</t>
        </is>
      </c>
      <c r="F23" s="23" t="inlineStr">
        <is>
          <t>Regression</t>
        </is>
      </c>
      <c r="G23" s="23" t="inlineStr">
        <is>
          <t>P2</t>
        </is>
      </c>
      <c r="H23" s="23" t="inlineStr">
        <is>
          <t>1. Công thức cho phép mức cố định.</t>
        </is>
      </c>
      <c r="I23" s="23" t="inlineStr">
        <is>
          <t>1. Nhập mức phí =
0.
2. Lưu.
3. Tính phí giao dịch mẫu.</t>
        </is>
      </c>
      <c r="J23" s="23" t="inlineStr">
        <is>
          <t>(i) Lưu thành công;
(ii) Phí thu KH = 0;
(iii) Log 'Miễn phí'</t>
        </is>
      </c>
      <c r="K23" s="23" t="inlineStr">
        <is>
          <t>II.5.1.1.4</t>
        </is>
      </c>
      <c r="L23" s="23" t="inlineStr">
        <is>
          <t>BR_17</t>
        </is>
      </c>
      <c r="M23" s="23" t="inlineStr">
        <is>
          <t>BR17-AMOUNT-ZERO</t>
        </is>
      </c>
      <c r="N23" s="23" t="n"/>
      <c r="O23" s="23" t="n"/>
      <c r="P23" s="23" t="n"/>
      <c r="Q23" s="23" t="n"/>
      <c r="R23" s="23" t="n"/>
      <c r="S23" s="23" t="n"/>
      <c r="T23" s="23" t="n"/>
      <c r="U23" s="23">
        <f>IF(R23&lt;&gt;"", R23, O23)</f>
        <v/>
      </c>
    </row>
    <row r="24" ht="15.75" customHeight="1" s="17">
      <c r="A24" s="23" t="inlineStr">
        <is>
          <t>5.1.1.4-BR17-NEG-002</t>
        </is>
      </c>
      <c r="B24" s="23" t="inlineStr">
        <is>
          <t>5.1.1.4 – II.5.1.1.4. Thêm mới code phí dành cho KHCN</t>
        </is>
      </c>
      <c r="C24" s="23" t="inlineStr">
        <is>
          <t>II.5.1.1.4 – Thêm mới code phí dành cho KHCN/CBNV</t>
        </is>
      </c>
      <c r="D24" s="23" t="inlineStr">
        <is>
          <t>Không cho phép mức phí âm</t>
        </is>
      </c>
      <c r="E24" s="23" t="inlineStr">
        <is>
          <t>Negative</t>
        </is>
      </c>
      <c r="F24" s="23" t="inlineStr">
        <is>
          <t>Smoke</t>
        </is>
      </c>
      <c r="G24" s="23" t="inlineStr">
        <is>
          <t>P1</t>
        </is>
      </c>
      <c r="H24" s="23" t="n"/>
      <c r="I24" s="23" t="inlineStr">
        <is>
          <t>1. Nhập mức phí âm.
2. Bấm 'Xác nhận'.</t>
        </is>
      </c>
      <c r="J24" s="23" t="inlineStr">
        <is>
          <t>(i) Chặn lưu;
(ii) Thông báo 'Số tiền phí phải &gt;= 0'</t>
        </is>
      </c>
      <c r="K24" s="23" t="inlineStr">
        <is>
          <t>II.5.1.1.4</t>
        </is>
      </c>
      <c r="L24" s="23" t="inlineStr">
        <is>
          <t>BR_17</t>
        </is>
      </c>
      <c r="M24" s="23" t="inlineStr">
        <is>
          <t>BR17-AMOUNT-NEG</t>
        </is>
      </c>
      <c r="N24" s="23" t="inlineStr">
        <is>
          <t>Áp dụng rule hiệu lực chung dự án</t>
        </is>
      </c>
      <c r="O24" s="23" t="n"/>
      <c r="P24" s="23" t="n"/>
      <c r="Q24" s="23" t="n"/>
      <c r="R24" s="23" t="n"/>
      <c r="S24" s="23" t="n"/>
      <c r="T24" s="23" t="n"/>
      <c r="U24" s="23">
        <f>IF(R24&lt;&gt;"", R24, O24)</f>
        <v/>
      </c>
    </row>
    <row r="25" ht="15.75" customHeight="1" s="17">
      <c r="A25" s="23" t="inlineStr">
        <is>
          <t>5.1.1.4-UI-01-OPEN-001</t>
        </is>
      </c>
      <c r="B25" s="23" t="inlineStr">
        <is>
          <t>5.1.1.4 – II.5.1.1.4. Thêm mới code phí dành cho KHCN</t>
        </is>
      </c>
      <c r="C25" s="23" t="inlineStr">
        <is>
          <t>II.5.1.1.4 – Thêm mới code phí dành cho KHCN/CBNV</t>
        </is>
      </c>
      <c r="D25" s="23" t="inlineStr">
        <is>
          <t>Mở form 'Thêm code phí' từ SPDV cấp cuối</t>
        </is>
      </c>
      <c r="E25" s="23" t="inlineStr">
        <is>
          <t>Happy</t>
        </is>
      </c>
      <c r="F25" s="23" t="inlineStr">
        <is>
          <t>Smoke</t>
        </is>
      </c>
      <c r="G25" s="23" t="inlineStr">
        <is>
          <t>P1</t>
        </is>
      </c>
      <c r="H25" s="23" t="inlineStr">
        <is>
          <t>1. Maker có SPDV cấp cuối đã duyệt.</t>
        </is>
      </c>
      <c r="I25" s="23" t="inlineStr">
        <is>
          <t>1. Vào chi tiết SPDV cấp cuối.
2. Bấm 'Thêm code phí'.</t>
        </is>
      </c>
      <c r="J25" s="23" t="inlineStr">
        <is>
          <t>(i) Điều hướng tới form;
(ii) Render các phân vùng: Thông tin chung/Điều kiện/Quy tắc;
(iii) Tiêu đề đúng</t>
        </is>
      </c>
      <c r="K25" s="23" t="inlineStr">
        <is>
          <t>II.5.1.1.4</t>
        </is>
      </c>
      <c r="L25" s="23" t="inlineStr">
        <is>
          <t>UI-FUNC.01</t>
        </is>
      </c>
      <c r="M25" s="23" t="inlineStr">
        <is>
          <t>UI-OPEN-FORM</t>
        </is>
      </c>
      <c r="N25" s="23" t="n"/>
      <c r="O25" s="23" t="n"/>
      <c r="P25" s="23" t="n"/>
      <c r="Q25" s="23" t="n"/>
      <c r="R25" s="23" t="n"/>
      <c r="S25" s="23" t="n"/>
      <c r="T25" s="23" t="n"/>
      <c r="U25" s="23">
        <f>IF(R25&lt;&gt;"", R25, O25)</f>
        <v/>
      </c>
    </row>
    <row r="26" ht="15.75" customHeight="1" s="17">
      <c r="A26" s="23" t="inlineStr">
        <is>
          <t>5.1.1.4-UI-02-ACTIONS-001</t>
        </is>
      </c>
      <c r="B26" s="23" t="inlineStr">
        <is>
          <t>5.1.1.4 – II.5.1.1.4. Thêm mới code phí dành cho KHCN</t>
        </is>
      </c>
      <c r="C26" s="23" t="inlineStr">
        <is>
          <t>II.5.1.1.4 – Thêm mới code phí dành cho KHCN/CBNV</t>
        </is>
      </c>
      <c r="D26" s="23" t="inlineStr">
        <is>
          <t>Footer hiển thị đủ nút 'Xác nhận' &amp; 'Đóng'</t>
        </is>
      </c>
      <c r="E26" s="23" t="inlineStr">
        <is>
          <t>Happy</t>
        </is>
      </c>
      <c r="F26" s="23" t="inlineStr">
        <is>
          <t>Regression</t>
        </is>
      </c>
      <c r="G26" s="23" t="inlineStr">
        <is>
          <t>P2</t>
        </is>
      </c>
      <c r="H26" s="23" t="inlineStr">
        <is>
          <t>1. Đang ở form.</t>
        </is>
      </c>
      <c r="I26" s="23" t="inlineStr">
        <is>
          <t>1. Quan sát footer.
2. Di chuột qua các nút.
3. Thay đổi kích thước cửa sổ (nếu có).</t>
        </is>
      </c>
      <c r="J26" s="23" t="inlineStr">
        <is>
          <t>(i) Có đủ nút;
(ii) Footer sticky;
(iii) Tooltip/label đúng tiếng Việt</t>
        </is>
      </c>
      <c r="K26" s="23" t="inlineStr">
        <is>
          <t>II.5.1.1.4</t>
        </is>
      </c>
      <c r="L26" s="23" t="inlineStr">
        <is>
          <t>UI-FUNC.02</t>
        </is>
      </c>
      <c r="M26" s="23" t="inlineStr">
        <is>
          <t>UI-ACTIONS-PRESENCE</t>
        </is>
      </c>
      <c r="N26" s="23" t="inlineStr">
        <is>
          <t>UI-only; không lặp BR</t>
        </is>
      </c>
      <c r="O26" s="23" t="n"/>
      <c r="P26" s="23" t="n"/>
      <c r="Q26" s="23" t="n"/>
      <c r="R26" s="23" t="n"/>
      <c r="S26" s="23" t="n"/>
      <c r="T26" s="23" t="n"/>
      <c r="U26" s="23">
        <f>IF(R26&lt;&gt;"", R26, O26)</f>
        <v/>
      </c>
    </row>
    <row r="27" ht="15.75" customHeight="1" s="17">
      <c r="A27" s="23" t="inlineStr">
        <is>
          <t>5.1.1.4-UI-03-CLOSE-001</t>
        </is>
      </c>
      <c r="B27" s="23" t="inlineStr">
        <is>
          <t>5.1.1.4 – II.5.1.1.4. Thêm mới code phí dành cho KHCN</t>
        </is>
      </c>
      <c r="C27" s="23" t="inlineStr">
        <is>
          <t>II.5.1.1.4 – Thêm mới code phí dành cho KHCN/CBNV</t>
        </is>
      </c>
      <c r="D27" s="23" t="inlineStr">
        <is>
          <t>Nút 'Đóng' điều hướng về màn trước</t>
        </is>
      </c>
      <c r="E27" s="23" t="inlineStr">
        <is>
          <t>Happy</t>
        </is>
      </c>
      <c r="F27" s="23" t="inlineStr">
        <is>
          <t>Regression</t>
        </is>
      </c>
      <c r="G27" s="23" t="inlineStr">
        <is>
          <t>P3</t>
        </is>
      </c>
      <c r="H27" s="23" t="inlineStr">
        <is>
          <t>1. Đang ở form.</t>
        </is>
      </c>
      <c r="I27" s="23" t="inlineStr">
        <is>
          <t>1. Bấm 'Đóng'.</t>
        </is>
      </c>
      <c r="J27" s="23" t="inlineStr">
        <is>
          <t>(i) Quay lại màn chi tiết SPDV;
(ii) Breadcrumb đúng;
(iii) Không lỗi UI</t>
        </is>
      </c>
      <c r="K27" s="23" t="inlineStr">
        <is>
          <t>II.5.1.1.4</t>
        </is>
      </c>
      <c r="L27" s="23" t="inlineStr">
        <is>
          <t>UI-FUNC.03</t>
        </is>
      </c>
      <c r="M27" s="23" t="inlineStr">
        <is>
          <t>UI-CLOSE-NAV</t>
        </is>
      </c>
      <c r="N27" s="23" t="n"/>
      <c r="O27" s="23" t="n"/>
      <c r="P27" s="23" t="n"/>
      <c r="Q27" s="23" t="n"/>
      <c r="R27" s="23" t="n"/>
      <c r="S27" s="23" t="n"/>
      <c r="T27" s="23" t="n"/>
      <c r="U27" s="23">
        <f>IF(R27&lt;&gt;"", R27, O27)</f>
        <v/>
      </c>
    </row>
    <row r="28" ht="15.75" customHeight="1" s="17">
      <c r="A28" s="23" t="inlineStr">
        <is>
          <t>5.1.1.4-UI-04-TOAST-001</t>
        </is>
      </c>
      <c r="B28" s="23" t="inlineStr">
        <is>
          <t>5.1.1.4 – II.5.1.1.4. Thêm mới code phí dành cho KHCN</t>
        </is>
      </c>
      <c r="C28" s="23" t="inlineStr">
        <is>
          <t>II.5.1.1.4 – Thêm mới code phí dành cho KHCN/CBNV</t>
        </is>
      </c>
      <c r="D28" s="23" t="inlineStr">
        <is>
          <t>Toast sau khi tạo yêu cầu – kiểm nội dung hiển thị</t>
        </is>
      </c>
      <c r="E28" s="23" t="inlineStr">
        <is>
          <t>Happy</t>
        </is>
      </c>
      <c r="F28" s="23" t="inlineStr">
        <is>
          <t>Regression</t>
        </is>
      </c>
      <c r="G28" s="23" t="inlineStr">
        <is>
          <t>P2</t>
        </is>
      </c>
      <c r="H28" s="23" t="inlineStr">
        <is>
          <t>1. Có ca lưu thành công (tái sử dụng từ BR01-HAPPY-001).</t>
        </is>
      </c>
      <c r="I28" s="23" t="inlineStr">
        <is>
          <t>1. Sau lưu, quan sát toast.
2. Chụp nội dung.
3. Đóng toast.</t>
        </is>
      </c>
      <c r="J28" s="23" t="inlineStr">
        <is>
          <t>(i) Hiển thị mã code phí/tên SPDV &amp; 'Chờ duyệt';
(ii) Có nút đóng &amp; tự ẩn;
(iii) Không tràn chữ</t>
        </is>
      </c>
      <c r="K28" s="23" t="inlineStr">
        <is>
          <t>II.5.1.1.4</t>
        </is>
      </c>
      <c r="L28" s="23" t="inlineStr">
        <is>
          <t>UI-FUNC.04</t>
        </is>
      </c>
      <c r="M28" s="23" t="inlineStr">
        <is>
          <t>UI-TOAST-CONTENT</t>
        </is>
      </c>
      <c r="N28" s="23" t="inlineStr">
        <is>
          <t>Không test rule hiệu lực (đã ở Flow)</t>
        </is>
      </c>
      <c r="O28" s="23" t="n"/>
      <c r="P28" s="23" t="n"/>
      <c r="Q28" s="23" t="n"/>
      <c r="R28" s="23" t="n"/>
      <c r="S28" s="23" t="n"/>
      <c r="T28" s="23" t="n"/>
      <c r="U28" s="23">
        <f>IF(R28&lt;&gt;"", R28, O28)</f>
        <v/>
      </c>
    </row>
    <row r="29" ht="15.75" customHeight="1" s="17">
      <c r="A29" s="23" t="inlineStr">
        <is>
          <t>5.1.1.4-UI-05-TASKLIST-001</t>
        </is>
      </c>
      <c r="B29" s="23" t="inlineStr">
        <is>
          <t>5.1.1.4 – II.5.1.1.4. Thêm mới code phí dành cho KHCN</t>
        </is>
      </c>
      <c r="C29" s="23" t="inlineStr">
        <is>
          <t>II.5.1.1.4 – Thêm mới code phí dành cho KHCN/CBNV</t>
        </is>
      </c>
      <c r="D29" s="23" t="inlineStr">
        <is>
          <t>Mở 'Tác vụ chờ duyệt' – kiểm tiêu đề &amp; cột lưới</t>
        </is>
      </c>
      <c r="E29" s="23" t="inlineStr">
        <is>
          <t>Happy</t>
        </is>
      </c>
      <c r="F29" s="23" t="inlineStr">
        <is>
          <t>Regression</t>
        </is>
      </c>
      <c r="G29" s="23" t="inlineStr">
        <is>
          <t>P3</t>
        </is>
      </c>
      <c r="H29" s="23" t="inlineStr">
        <is>
          <t>1. Maker/Checker.</t>
        </is>
      </c>
      <c r="I29" s="23" t="inlineStr">
        <is>
          <t>1. Mở chức năng 'Tác vụ chờ duyệt'.
2. Quan sát bảng.</t>
        </is>
      </c>
      <c r="J29" s="23" t="inlineStr">
        <is>
          <t>(i) Có các cột: Mã code phí, Ngày tạo, Người tạo, Trạng thái;
(ii) Tiêu đề/description đúng</t>
        </is>
      </c>
      <c r="K29" s="23" t="inlineStr">
        <is>
          <t>II.5.1.1.4</t>
        </is>
      </c>
      <c r="L29" s="23" t="inlineStr">
        <is>
          <t>UI-FUNC.05</t>
        </is>
      </c>
      <c r="M29" s="23" t="inlineStr">
        <is>
          <t>UI-TASKLIST-COLUMNS</t>
        </is>
      </c>
      <c r="N29" s="23" t="n"/>
      <c r="O29" s="23" t="n"/>
      <c r="P29" s="23" t="n"/>
      <c r="Q29" s="23" t="n"/>
      <c r="R29" s="23" t="n"/>
      <c r="S29" s="23" t="n"/>
      <c r="T29" s="23" t="n"/>
      <c r="U29" s="23">
        <f>IF(R29&lt;&gt;"", R29, O29)</f>
        <v/>
      </c>
    </row>
    <row r="30" ht="15.75" customHeight="1" s="17">
      <c r="A30" s="23" t="inlineStr">
        <is>
          <t>5.1.1.4-FLOW-E2E-001</t>
        </is>
      </c>
      <c r="B30" s="23" t="inlineStr">
        <is>
          <t>5.1.1.4 – II.5.1.1.4. Thêm mới code phí dành cho KHCN</t>
        </is>
      </c>
      <c r="C30" s="23" t="inlineStr">
        <is>
          <t>II.5.1.1.4 – Thêm mới code phí dành cho KHCN/CBNV</t>
        </is>
      </c>
      <c r="D30" s="23" t="inlineStr">
        <is>
          <t>E2E: Thêm mới code phí KHCN – 'Theo giao dịch' – thành công</t>
        </is>
      </c>
      <c r="E30" s="23" t="inlineStr">
        <is>
          <t>Integration</t>
        </is>
      </c>
      <c r="F30" s="23" t="inlineStr">
        <is>
          <t>Smoke</t>
        </is>
      </c>
      <c r="G30" s="23" t="inlineStr">
        <is>
          <t>P1</t>
        </is>
      </c>
      <c r="H30" s="23" t="inlineStr">
        <is>
          <t>1. Maker SPDV cấp cuối đã duyệt có công thức đã duyệt.</t>
        </is>
      </c>
      <c r="I30" s="23" t="inlineStr">
        <is>
          <t>1. Mở SPDV &gt; 'Thêm code phí'.
2. Loại KH = KHCN; 'Loại tính phí' = Theo giao dịch; khai báo điều kiện.
3. Chọn công thức hợp lệ; nhập mức phí cho 1–2 segment.
4. 'Xác nhận'.
5. Mở 'Tác vụ chờ duyệt'.</t>
        </is>
      </c>
      <c r="J30" s="23" t="inlineStr">
        <is>
          <t>(i) Lưu thành công, sinh mã đúng format;
(ii) Trạng thái = 'Chờ duyệt';
(iii) Có tác vụ</t>
        </is>
      </c>
      <c r="K30" s="23" t="inlineStr">
        <is>
          <t>II.5.1.1.4</t>
        </is>
      </c>
      <c r="L30" s="23" t="inlineStr">
        <is>
          <t>FLOW</t>
        </is>
      </c>
      <c r="M30" s="23" t="inlineStr">
        <is>
          <t>FLOW-KHCN-E2E</t>
        </is>
      </c>
      <c r="N30" s="23" t="n"/>
      <c r="O30" s="23" t="n"/>
      <c r="P30" s="23" t="n"/>
      <c r="Q30" s="23" t="n"/>
      <c r="R30" s="23" t="n"/>
      <c r="S30" s="23" t="n"/>
      <c r="T30" s="23" t="n"/>
      <c r="U30" s="23">
        <f>IF(R30&lt;&gt;"", R30, O30)</f>
        <v/>
      </c>
    </row>
    <row r="31" ht="15.75" customHeight="1" s="17">
      <c r="A31" s="23" t="inlineStr">
        <is>
          <t>5.1.1.4-FLOW-NEG-002</t>
        </is>
      </c>
      <c r="B31" s="23" t="inlineStr">
        <is>
          <t>5.1.1.4 – II.5.1.1.4. Thêm mới code phí dành cho KHCN</t>
        </is>
      </c>
      <c r="C31" s="23" t="inlineStr">
        <is>
          <t>II.5.1.1.4 – Thêm mới code phí dành cho KHCN/CBNV</t>
        </is>
      </c>
      <c r="D31" s="23" t="inlineStr">
        <is>
          <t>E2E Negative: Non‑Maker không được phép thêm mới</t>
        </is>
      </c>
      <c r="E31" s="23" t="inlineStr">
        <is>
          <t>Negative</t>
        </is>
      </c>
      <c r="F31" s="23" t="inlineStr">
        <is>
          <t>Smoke</t>
        </is>
      </c>
      <c r="G31" s="23" t="inlineStr">
        <is>
          <t>P1</t>
        </is>
      </c>
      <c r="H31" s="23" t="inlineStr">
        <is>
          <t>1. Đăng nhập Non-Maker (Viewer/Checker).</t>
        </is>
      </c>
      <c r="I31" s="23" t="inlineStr">
        <is>
          <t>1. Mở chi tiết SPDV cấp cuối.
2. Kiểm tra nút 'Thêm code phí'.
3. Nếu cố mở form qua URL trực tiếp, quan sát phản hồi.</t>
        </is>
      </c>
      <c r="J31" s="23" t="inlineStr">
        <is>
          <t>(i) Nút ẩn/disabled;
(ii) Truy cập trực tiếp bị chặn;
(iii) Không tạo dữ liệu</t>
        </is>
      </c>
      <c r="K31" s="23" t="inlineStr">
        <is>
          <t>II.5.1.1.4</t>
        </is>
      </c>
      <c r="L31" s="23" t="inlineStr">
        <is>
          <t>FLOW</t>
        </is>
      </c>
      <c r="M31" s="23" t="inlineStr">
        <is>
          <t>FLOW-NOROLE-BLOCK</t>
        </is>
      </c>
      <c r="N31" s="23" t="inlineStr">
        <is>
          <t>UI kiểm hiển thị; logic auto đã có BR17/18</t>
        </is>
      </c>
      <c r="O31" s="23" t="n"/>
      <c r="P31" s="23" t="n"/>
      <c r="Q31" s="23" t="n"/>
      <c r="R31" s="23" t="n"/>
      <c r="S31" s="23" t="n"/>
      <c r="T31" s="23" t="n"/>
      <c r="U31" s="23">
        <f>IF(R31&lt;&gt;"", R31, O31)</f>
        <v/>
      </c>
    </row>
    <row r="32" ht="15.75" customHeight="1" s="17">
      <c r="A32" s="23" t="inlineStr">
        <is>
          <t>5.1.1.4-FLOW-NEG-003</t>
        </is>
      </c>
      <c r="B32" s="23" t="inlineStr">
        <is>
          <t>5.1.1.4 – II.5.1.1.4. Thêm mới code phí dành cho KHCN</t>
        </is>
      </c>
      <c r="C32" s="23" t="inlineStr">
        <is>
          <t>II.5.1.1.4 – Thêm mới code phí dành cho KHCN/CBNV</t>
        </is>
      </c>
      <c r="D32" s="23" t="inlineStr">
        <is>
          <t>E2E Negative: Không có SPDV cấp cuối đã duyệt thì không thể khởi tạo</t>
        </is>
      </c>
      <c r="E32" s="23" t="inlineStr">
        <is>
          <t>Negative</t>
        </is>
      </c>
      <c r="F32" s="23" t="inlineStr">
        <is>
          <t>Regression</t>
        </is>
      </c>
      <c r="G32" s="23" t="inlineStr">
        <is>
          <t>P2</t>
        </is>
      </c>
      <c r="H32" s="23" t="inlineStr">
        <is>
          <t>1. Hệ thống không có SPDV cấp cuối ở trạng thái đã duyệt.</t>
        </is>
      </c>
      <c r="I32" s="23" t="inlineStr">
        <is>
          <t>1. Vào cây Danh mục SPDV.
2. Tìm SPDV cấp cuối phù hợp.
3. Quan sát điểm vào thêm mới.</t>
        </is>
      </c>
      <c r="J32" s="23" t="inlineStr">
        <is>
          <t>(i) Không có điểm vào thêm mới;
(ii) Không thể tạo code phí</t>
        </is>
      </c>
      <c r="K32" s="23" t="inlineStr">
        <is>
          <t>II.5.1.1.4</t>
        </is>
      </c>
      <c r="L32" s="23" t="inlineStr">
        <is>
          <t>FLOW</t>
        </is>
      </c>
      <c r="M32" s="23" t="inlineStr">
        <is>
          <t>FLOW-NOSPDV</t>
        </is>
      </c>
      <c r="N32" s="23" t="n"/>
      <c r="O32" s="23" t="n"/>
      <c r="P32" s="23" t="n"/>
      <c r="Q32" s="23" t="n"/>
      <c r="R32" s="23" t="n"/>
      <c r="S32" s="23" t="n"/>
      <c r="T32" s="23" t="n"/>
      <c r="U32" s="23">
        <f>IF(R32&lt;&gt;"", R32, O32)</f>
        <v/>
      </c>
    </row>
    <row r="33" ht="15.75" customHeight="1" s="17">
      <c r="A33" s="23" t="inlineStr">
        <is>
          <t>5.1.1.4-BR06-HAPPY-003</t>
        </is>
      </c>
      <c r="B33" s="23" t="inlineStr">
        <is>
          <t>5.1.1.4 – II.5.1.1.4. Thêm mới code phí dành cho KHCN</t>
        </is>
      </c>
      <c r="C33" s="23" t="inlineStr">
        <is>
          <t>II.5.1.1.4 – Thêm mới code phí dành cho KHCN/CBNV</t>
        </is>
      </c>
      <c r="D33" s="23" t="inlineStr">
        <is>
          <t>Kiểm tra hiển thị chi tiết 9 segment cho KHCN</t>
        </is>
      </c>
      <c r="E33" s="23" t="inlineStr">
        <is>
          <t>Happy</t>
        </is>
      </c>
      <c r="F33" s="23" t="inlineStr">
        <is>
          <t>Regression</t>
        </is>
      </c>
      <c r="G33" s="23" t="inlineStr">
        <is>
          <t>P1</t>
        </is>
      </c>
      <c r="H33" s="23" t="inlineStr">
        <is>
          <t>1. Loại khách hàng = KHCN.</t>
        </is>
      </c>
      <c r="I33" s="23" t="inlineStr">
        <is>
          <t>1. Vào cây Danh mục SPDV -&gt; Click chi tiết 1 SPDV cấp cuối.
2. Click nút 'Thêm code phí' ở góc trên bên phải.
3. Tại trường 'Loại khách hàng', chọn 'KHCN'.
4. Cuộn xuống phân vùng 'Quy tắc tính phí' và quan sát danh sách các Segment.</t>
        </is>
      </c>
      <c r="J33" s="23" t="inlineStr">
        <is>
          <t>(i) Hệ thống tự động hiển thị đầy đủ danh sách 09 Phân khúc (Segment) bao gồm: KH thông thường, NHUT PVIP, NHUT-PV1, NHUT-PV2, NHUT-PV3, NSNN-Diamond, NSNN-Platinum, NSNN-Gold, NSNN-Trải nghiệm.
(ii) Các Segment được sắp xếp đúng thứ tự theo tài liệu thiết kế.
(iii) Cho phép người dùng nhập mức phí riêng biệt cho từng Segment.</t>
        </is>
      </c>
      <c r="K33" s="23" t="inlineStr">
        <is>
          <t>II.5.1.1.4</t>
        </is>
      </c>
      <c r="L33" s="23" t="inlineStr">
        <is>
          <t>BR_06</t>
        </is>
      </c>
      <c r="M33" s="23" t="inlineStr">
        <is>
          <t>BR06-SEGMENT-DETAIL</t>
        </is>
      </c>
      <c r="N33" s="23" t="inlineStr">
        <is>
          <t>Added after QA Review</t>
        </is>
      </c>
      <c r="O33" s="23" t="n"/>
      <c r="P33" s="23" t="n"/>
      <c r="Q33" s="23" t="n"/>
      <c r="R33" s="23" t="n"/>
      <c r="S33" s="23" t="n"/>
      <c r="T33" s="23" t="n"/>
      <c r="U33" s="23">
        <f>IF(R33&lt;&gt;"", R33, O33)</f>
        <v/>
      </c>
    </row>
    <row r="34" ht="15.75" customHeight="1" s="17">
      <c r="A34" s="23" t="inlineStr">
        <is>
          <t>5.1.1.4-BR09-NEG-004</t>
        </is>
      </c>
      <c r="B34" s="23" t="inlineStr">
        <is>
          <t>5.1.1.4 – II.5.1.1.4. Thêm mới code phí dành cho KHCN</t>
        </is>
      </c>
      <c r="C34" s="23" t="inlineStr">
        <is>
          <t>II.5.1.1.4 – Thêm mới code phí dành cho KHCN/CBNV</t>
        </is>
      </c>
      <c r="D34" s="23" t="inlineStr">
        <is>
          <t>Tên SPDV cấp 2 ngắn (&lt;4 ký tự) - Kiểm tra sinh mã</t>
        </is>
      </c>
      <c r="E34" s="23" t="inlineStr">
        <is>
          <t>Negative</t>
        </is>
      </c>
      <c r="F34" s="23" t="inlineStr">
        <is>
          <t>Regression</t>
        </is>
      </c>
      <c r="G34" s="23" t="inlineStr">
        <is>
          <t>P2</t>
        </is>
      </c>
      <c r="H34" s="23" t="inlineStr">
        <is>
          <t>1. Tên SPDV cấp 2 = 'ABC'.</t>
        </is>
      </c>
      <c r="I34" s="23" t="inlineStr">
        <is>
          <t>1. Chọn SPDV cấp cuối thuộc SPDV cấp 2 có tên ngắn (Ví dụ tên SP2: 'ATM').
2. Click 'Thêm code phí'.
3. Quan sát trường 'Mã code phí' được hệ thống tự động sinh ra.</t>
        </is>
      </c>
      <c r="J34" s="23" t="inlineStr">
        <is>
          <t>(i) Hệ thống vẫn cho phép mở form và sinh mã bình thường.
(ii) Thành phần [Nhóm SPDV] trong mã (4 ký tự) thực hiện padding thêm ký tự '_' hoặc lấy đúng text có sẵn (Ví dụ: KHCN_ATM__001).
(iii) Không xảy ra lỗi Error UI hoặc treo tiến trình hệ thống.</t>
        </is>
      </c>
      <c r="K34" s="23" t="inlineStr">
        <is>
          <t>II.5.1.1.4</t>
        </is>
      </c>
      <c r="L34" s="23" t="inlineStr">
        <is>
          <t>BR_09</t>
        </is>
      </c>
      <c r="M34" s="23" t="inlineStr">
        <is>
          <t>BR09-SHORT-NAME</t>
        </is>
      </c>
      <c r="N34" s="23" t="inlineStr">
        <is>
          <t>Added after QA Review</t>
        </is>
      </c>
      <c r="O34" s="23" t="n"/>
      <c r="P34" s="23" t="n"/>
      <c r="Q34" s="23" t="n"/>
      <c r="R34" s="23" t="n"/>
      <c r="S34" s="23" t="n"/>
      <c r="T34" s="23" t="n"/>
      <c r="U34" s="23">
        <f>IF(R34&lt;&gt;"", R34, O34)</f>
        <v/>
      </c>
    </row>
    <row r="35" ht="15.75" customHeight="1" s="17">
      <c r="A35" s="23" t="inlineStr">
        <is>
          <t>5.1.1.4-BR09-NEG-005</t>
        </is>
      </c>
      <c r="B35" s="23" t="inlineStr">
        <is>
          <t>5.1.1.4 – II.5.1.1.4. Thêm mới code phí dành cho KHCN</t>
        </is>
      </c>
      <c r="C35" s="23" t="inlineStr">
        <is>
          <t>II.5.1.1.4 – Thêm mới code phí dành cho KHCN/CBNV</t>
        </is>
      </c>
      <c r="D35" s="23" t="inlineStr">
        <is>
          <t>Sản phẩm cấp 2 có ký tự đặc biệt - Kiểm tra chuẩn hóa mã</t>
        </is>
      </c>
      <c r="E35" s="23" t="inlineStr">
        <is>
          <t>Negative</t>
        </is>
      </c>
      <c r="F35" s="23" t="inlineStr">
        <is>
          <t>Regression</t>
        </is>
      </c>
      <c r="G35" s="23" t="inlineStr">
        <is>
          <t>P2</t>
        </is>
      </c>
      <c r="H35" s="23" t="inlineStr">
        <is>
          <t>1. Tên SPDV cấp 2 = 'SP &amp; DV'.</t>
        </is>
      </c>
      <c r="I35" s="23" t="inlineStr">
        <is>
          <t>1. Chọn SPDV cấp cuối thuộc SPDV cấp 2 có tên chứa ký tự đặc biệt (Ví dụ: 'MB &amp; IB').
2. Click 'Thêm code phí'.
3. Kiểm tra chuỗi ký tự tại trường 'Mã code phí'.</t>
        </is>
      </c>
      <c r="J35" s="23" t="inlineStr">
        <is>
          <t>(i) Mã code phí sinh ra tại thành phần [Nhóm SPDV] chỉ bao gồm Chữ cái và Số viết hoa (Ví dụ: 'MBIB').
(ii) Các ký tự đặc biệt như '&amp;', '-', '/', '.' và khoảng trắng đều phải được hệ thống loại bỏ hoàn toàn.
(iii) Mã code phí vẫn đảm bảo đúng độ dài 11 ký tự.</t>
        </is>
      </c>
      <c r="K35" s="23" t="inlineStr">
        <is>
          <t>II.5.1.1.4</t>
        </is>
      </c>
      <c r="L35" s="23" t="inlineStr">
        <is>
          <t>BR_09</t>
        </is>
      </c>
      <c r="M35" s="23" t="inlineStr">
        <is>
          <t>BR09-SPECIAL-CHAR</t>
        </is>
      </c>
      <c r="N35" s="23" t="inlineStr">
        <is>
          <t>Added after QA Review</t>
        </is>
      </c>
      <c r="O35" s="23" t="n"/>
      <c r="P35" s="23" t="n"/>
      <c r="Q35" s="23" t="n"/>
      <c r="R35" s="23" t="n"/>
      <c r="S35" s="23" t="n"/>
      <c r="T35" s="23" t="n"/>
      <c r="U35" s="23">
        <f>IF(R35&lt;&gt;"", R35, O35)</f>
        <v/>
      </c>
    </row>
    <row r="36" ht="15.75" customHeight="1" s="17">
      <c r="A36" s="23" t="inlineStr">
        <is>
          <t>5.1.1.4-BR03-NEG-002</t>
        </is>
      </c>
      <c r="B36" s="23" t="inlineStr">
        <is>
          <t>5.1.1.4 – II.5.1.1.4. Thêm mới code phí dành cho KHCN</t>
        </is>
      </c>
      <c r="C36" s="23" t="inlineStr">
        <is>
          <t>II.5.1.1.4 – Thêm mới code phí dành cho KHCN/CBNV</t>
        </is>
      </c>
      <c r="D36" s="23" t="inlineStr">
        <is>
          <t>Chuyển đổi Loại tính phí - Kiểm tra xóa trắng dữ liệu cũ</t>
        </is>
      </c>
      <c r="E36" s="23" t="inlineStr">
        <is>
          <t>Negative</t>
        </is>
      </c>
      <c r="F36" s="23" t="inlineStr">
        <is>
          <t>Regression</t>
        </is>
      </c>
      <c r="G36" s="23" t="inlineStr">
        <is>
          <t>P2</t>
        </is>
      </c>
      <c r="H36" s="23" t="inlineStr">
        <is>
          <t>1. Đang nhập dữ liệu cho 'Theo giao dịch'.</t>
        </is>
      </c>
      <c r="I36" s="23" t="inlineStr">
        <is>
          <t>1. Tại form 'Thêm code phí', chọn 'Loại tính phí' = 'Theo giao dịch'.
2. Nhập dữ liệu mẫu vào vùng 'Điều kiện tính phí' (Ví dụ: Số tiền giao dịch từ 1tr).
3. Thay đổi 'Loại tính phí' thành 'Định kỳ'.
4. Thay đổi ngược lại 'Loại tính phí' về 'Theo giao dịch'.
5. Kiểm tra trạng thái dữ liệu tại các trường đã nhập ở bước
2.</t>
        </is>
      </c>
      <c r="J36" s="23" t="inlineStr">
        <is>
          <t>(i) Tại bước 3: Phân vùng cũ bị ẩn và toàn bộ dữ liệu đã nhập cho 'Theo giao dịch' phải được hệ thống xóa trắng (Clear) hoàn toàn.
(ii) Tại bước 5: Các ô nhập liệu phải trở về trạng thái trống (mặc định).
(iii) Đảm bảo không lưu dữ liệu thừa (trash data) của loại cũ vào DB khi bấm 'Xác nhận'.</t>
        </is>
      </c>
      <c r="K36" s="23" t="inlineStr">
        <is>
          <t>II.5.1.1.4</t>
        </is>
      </c>
      <c r="L36" s="23" t="inlineStr">
        <is>
          <t>BR_03</t>
        </is>
      </c>
      <c r="M36" s="23" t="inlineStr">
        <is>
          <t>BR03-DATA-CLEANUP</t>
        </is>
      </c>
      <c r="N36" s="23" t="inlineStr">
        <is>
          <t>Added after QA Review</t>
        </is>
      </c>
      <c r="O36" s="23" t="n"/>
      <c r="P36" s="23" t="n"/>
      <c r="Q36" s="23" t="n"/>
      <c r="R36" s="23" t="n"/>
      <c r="S36" s="23" t="n"/>
      <c r="T36" s="23" t="n"/>
      <c r="U36" s="23">
        <f>IF(R36&lt;&gt;"", R36, O36)</f>
        <v/>
      </c>
    </row>
    <row r="37" ht="15.75" customHeight="1" s="17">
      <c r="A37" s="23" t="inlineStr">
        <is>
          <t>5.1.1.4-BR04-NEG-002</t>
        </is>
      </c>
      <c r="B37" s="23" t="inlineStr">
        <is>
          <t>5.1.1.4 – II.5.1.1.4. Thêm mới code phí dành cho KHCN</t>
        </is>
      </c>
      <c r="C37" s="23" t="inlineStr">
        <is>
          <t>II.5.1.1.4 – Thêm mới code phí dành cho KHCN/CBNV</t>
        </is>
      </c>
      <c r="D37" s="23" t="inlineStr">
        <is>
          <t>Không có công thức phê duyệt - Kiểm tra Dropdown</t>
        </is>
      </c>
      <c r="E37" s="23" t="inlineStr">
        <is>
          <t>Negative</t>
        </is>
      </c>
      <c r="F37" s="23" t="inlineStr">
        <is>
          <t>Smoke</t>
        </is>
      </c>
      <c r="G37" s="23" t="inlineStr">
        <is>
          <t>P1</t>
        </is>
      </c>
      <c r="H37" s="23" t="inlineStr">
        <is>
          <t>1. SPDV chưa có công thức nào ở trạng thái 'Đã duyệt'.</t>
        </is>
      </c>
      <c r="I37" s="23" t="inlineStr">
        <is>
          <t>1. Đảm bảo SPDV hiện tại chưa có 'Công thức tính phí' nào ở trạng thái 'Đã duyệt'.
2. Mở form 'Thêm code phí'.
3. Click mở dropdown tại trường 'Công thức tính phí'.</t>
        </is>
      </c>
      <c r="J37" s="23" t="inlineStr">
        <is>
          <t>(i) Dropdown không hiển thị bản ghi nào.
(ii) Hệ thống hiển thị thông báo dưới ô dropdown hoặc tooltip: 'Không có công thức nào khả dụng cho SPDV này'.
(iii) Nút 'Xác nhận' bị chặn (Disabled) hoặc báo lỗi nếu cố tình lưu khi chưa chọn công thức.</t>
        </is>
      </c>
      <c r="K37" s="23" t="inlineStr">
        <is>
          <t>II.5.1.1.4</t>
        </is>
      </c>
      <c r="L37" s="23" t="inlineStr">
        <is>
          <t>BR_04</t>
        </is>
      </c>
      <c r="M37" s="23" t="inlineStr">
        <is>
          <t>BR04-EMPTY-LIST</t>
        </is>
      </c>
      <c r="N37" s="23" t="inlineStr">
        <is>
          <t>Added after QA Review</t>
        </is>
      </c>
      <c r="O37" s="23" t="n"/>
      <c r="P37" s="23" t="n"/>
      <c r="Q37" s="23" t="n"/>
      <c r="R37" s="23" t="n"/>
      <c r="S37" s="23" t="n"/>
      <c r="T37" s="23" t="n"/>
      <c r="U37" s="23">
        <f>IF(R37&lt;&gt;"", R37, O37)</f>
        <v/>
      </c>
    </row>
    <row r="38" ht="15.75" customHeight="1" s="17">
      <c r="A38" s="23" t="inlineStr">
        <is>
          <t>5.1.1.4-SEC-01-CODE-LEN</t>
        </is>
      </c>
      <c r="B38" s="23" t="inlineStr">
        <is>
          <t>5.1.1.4 – II.5.1.1.4. Thêm mới code phí dành cho KHCN</t>
        </is>
      </c>
      <c r="C38" s="23" t="inlineStr">
        <is>
          <t>II.5.1.1.4 – Thêm mới code phí dành cho KHCN/CBNV</t>
        </is>
      </c>
      <c r="D38" s="23" t="inlineStr">
        <is>
          <t>Mức API: Chặn lưu mã sai độ dài/format</t>
        </is>
      </c>
      <c r="E38" s="23" t="inlineStr">
        <is>
          <t>Negative</t>
        </is>
      </c>
      <c r="F38" s="23" t="inlineStr">
        <is>
          <t>Security</t>
        </is>
      </c>
      <c r="G38" s="23" t="inlineStr">
        <is>
          <t>P2</t>
        </is>
      </c>
      <c r="H38" s="23" t="inlineStr">
        <is>
          <t>1. Dùng Postman/Console gửi request tạo code phí.</t>
        </is>
      </c>
      <c r="I38" s="23" t="inlineStr">
        <is>
          <t>1. Sử dụng công cụ Postman/Curl để bắt Request tạo mới.
2. Chỉnh sửa tham số `feeCode` trong JSON body thành 12 ký tự (Ví dụ: 'KHCN_ATMM_001_').
3. Thực hiện gửi Request lên Backend.
4. Kiểm tra phản hồi và database.</t>
        </is>
      </c>
      <c r="J38" s="23" t="inlineStr">
        <is>
          <t>(i) Server trả về mã lỗi 400 Bad Request kèm nội dung mô tả lỗi format.
(ii) Hệ thống không cho phép insert bản ghi vào Database với mã sai độ dài.
(iii) Đảm bảo tính toàn vẹn của dữ liệu: Không xuất hiện bản ghi rác/lỗi trên UI sau đó.
[v0.9] Mã code phí là mã HỆ THỐNG TỰ SINH, người dùng không được nhập thủ công.</t>
        </is>
      </c>
      <c r="K38" s="23" t="inlineStr">
        <is>
          <t>II.5.1.1.4</t>
        </is>
      </c>
      <c r="L38" s="23" t="inlineStr">
        <is>
          <t>BR_08</t>
        </is>
      </c>
      <c r="M38" s="23" t="inlineStr">
        <is>
          <t>SEC-CODE-FORMAT</t>
        </is>
      </c>
      <c r="N38" s="23" t="inlineStr">
        <is>
          <t>Added after QA Review (Security/Backend)  |  [v0.9-UPD] BR_08: mã tự sinh</t>
        </is>
      </c>
      <c r="O38" s="23" t="n"/>
      <c r="P38" s="23" t="n"/>
      <c r="Q38" s="23" t="n"/>
      <c r="R38" s="23" t="n"/>
      <c r="S38" s="23" t="n"/>
      <c r="T38" s="23" t="n"/>
      <c r="U38" s="23">
        <f>IF(R38&lt;&gt;"", R38, O38)</f>
        <v/>
      </c>
    </row>
    <row r="39" ht="15.75" customHeight="1" s="17">
      <c r="A39" s="23" t="inlineStr">
        <is>
          <t>PR01-KHCN-BR08-NEW-001</t>
        </is>
      </c>
      <c r="B39" s="23" t="inlineStr">
        <is>
          <t>PR01-KHCN</t>
        </is>
      </c>
      <c r="C39" s="23" t="inlineStr">
        <is>
          <t>Thêm mới Code phí</t>
        </is>
      </c>
      <c r="D39" s="23" t="inlineStr">
        <is>
          <t>[v0.9-NEW] Xác minh Mã code phí do hệ thống tự sinh sau khi Thêm mới</t>
        </is>
      </c>
      <c r="E39" s="23" t="inlineStr">
        <is>
          <t>Happy</t>
        </is>
      </c>
      <c r="F39" s="23" t="inlineStr">
        <is>
          <t>Smoke</t>
        </is>
      </c>
      <c r="G39" s="23" t="inlineStr">
        <is>
          <t>P1</t>
        </is>
      </c>
      <c r="H39" s="23" t="inlineStr">
        <is>
          <t>Maker có quyền, đã điền đầy đủ thông tin bắt buộc (không có trường Mã code phí để nhập).</t>
        </is>
      </c>
      <c r="I39" s="23" t="inlineStr">
        <is>
          <t>1. Điền đầy đủ thông tin bắt buộc tại màn hình Thêm mới Code phí.
2. Nhấn 'Xác nhận'.
3. Checker phê duyệt.
4. Mở bản ghi vừa tạo, quan sát trường Mã code phí.</t>
        </is>
      </c>
      <c r="J39" s="23" t="inlineStr">
        <is>
          <t>(i) Logic: Trường 'Mã code phí' không hiển thị để nhập ở form tạo mới.
(ii) Sau duyệt, hệ thống tự sinh mã đúng cấu trúc [Phân khúc]_[Nhóm SPDV]_[Thứ tự] – 11 ký tự.
(iii) Mã là duy nhất, không trùng bản ghi khác trong hệ thống.</t>
        </is>
      </c>
      <c r="K39" s="23" t="inlineStr">
        <is>
          <t>II.5.1.1 – BR_08</t>
        </is>
      </c>
      <c r="L39" s="23" t="inlineStr">
        <is>
          <t>BR_08</t>
        </is>
      </c>
      <c r="M39" s="23" t="inlineStr">
        <is>
          <t>BR_08-NEW-001</t>
        </is>
      </c>
      <c r="N39" s="23" t="inlineStr">
        <is>
          <t>[v0.9-NEW] Theo diff URD v0.9 – mã code phí là mã hệ thống tự sinh</t>
        </is>
      </c>
      <c r="O39" s="23" t="n"/>
      <c r="P39" s="23" t="n"/>
      <c r="Q39" s="23" t="n"/>
      <c r="R39" s="23" t="n"/>
      <c r="S39" s="23" t="n"/>
      <c r="T39" s="23" t="n"/>
      <c r="U39" s="23" t="n"/>
    </row>
    <row r="40" ht="15.75" customHeight="1" s="17">
      <c r="A40" s="23" t="inlineStr">
        <is>
          <t>PR01-KHCN-BR08-NEG-NEW-001</t>
        </is>
      </c>
      <c r="B40" s="23" t="inlineStr">
        <is>
          <t>PR01-KHCN</t>
        </is>
      </c>
      <c r="C40" s="23" t="inlineStr">
        <is>
          <t>Thêm mới Code phí</t>
        </is>
      </c>
      <c r="D40" s="23" t="inlineStr">
        <is>
          <t>[v0.9-NEW] Xác minh giao diện KHÔNG cho phép nhập thủ công Mã code phí</t>
        </is>
      </c>
      <c r="E40" s="23" t="inlineStr">
        <is>
          <t>Negative</t>
        </is>
      </c>
      <c r="F40" s="23" t="inlineStr">
        <is>
          <t>Regression</t>
        </is>
      </c>
      <c r="G40" s="23" t="inlineStr">
        <is>
          <t>P1</t>
        </is>
      </c>
      <c r="H40" s="23" t="inlineStr">
        <is>
          <t>Màn hình Thêm mới Code phí.</t>
        </is>
      </c>
      <c r="I40" s="23" t="inlineStr">
        <is>
          <t>1. Mở màn hình Thêm mới Code phí.
2. Kiểm tra danh sách tất cả các trường hiển thị trên form.</t>
        </is>
      </c>
      <c r="J40" s="23" t="inlineStr">
        <is>
          <t>(i) UI: Không tồn tại trường input nào có label 'Mã code phí' ở dạng editable.
(ii) Nếu trường Mã hiển thị thì ở dạng read-only/disabled, không cho nhập.
(iii) Logic: Không thể bypass bằng cách inspect/edit DOM để inject giá trị mã.</t>
        </is>
      </c>
      <c r="K40" s="23" t="inlineStr">
        <is>
          <t>II.5.1.1 – BR_08</t>
        </is>
      </c>
      <c r="L40" s="23" t="inlineStr">
        <is>
          <t>BR_08</t>
        </is>
      </c>
      <c r="M40" s="23" t="inlineStr">
        <is>
          <t>BR_08-NEG-NEW-001</t>
        </is>
      </c>
      <c r="N40" s="23" t="inlineStr">
        <is>
          <t>[v0.9-NEW] Security check – mã tự sinh không được nhập tay</t>
        </is>
      </c>
      <c r="O40" s="23" t="n"/>
      <c r="P40" s="23" t="n"/>
      <c r="Q40" s="23" t="n"/>
      <c r="R40" s="23" t="n"/>
      <c r="S40" s="23" t="n"/>
      <c r="T40" s="23" t="n"/>
      <c r="U40" s="23" t="n"/>
    </row>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1">
    <mergeCell ref="A1:U1"/>
  </mergeCells>
  <conditionalFormatting sqref="U3:U1000">
    <cfRule type="cellIs" priority="1" operator="equal" dxfId="1">
      <formula>"Pass"</formula>
    </cfRule>
    <cfRule type="cellIs" priority="2" operator="equal" dxfId="0">
      <formula>"Fail"</formula>
    </cfRule>
  </conditionalFormatting>
  <dataValidations count="2">
    <dataValidation sqref="O3:O46 R3:R46" showDropDown="0" showInputMessage="0" showErrorMessage="0" allowBlank="1" type="list">
      <formula1>"Pass,Fail,Doing,Blocked,N/A"</formula1>
    </dataValidation>
    <dataValidation sqref="P3:P46 S3:S46" showDropDown="0" showInputMessage="0" showErrorMessage="0" allowBlank="1" type="list">
      <formula1>"Định,Thanh,Vân Anh,Hiệp"</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U43"/>
  <sheetViews>
    <sheetView workbookViewId="0">
      <pane ySplit="2" topLeftCell="A3" activePane="bottomLeft" state="frozen"/>
      <selection pane="bottomLeft" activeCell="B4" sqref="B4"/>
    </sheetView>
  </sheetViews>
  <sheetFormatPr baseColWidth="10" defaultColWidth="14.5" defaultRowHeight="15" customHeight="1"/>
  <cols>
    <col width="14" customWidth="1" style="17" min="1" max="1"/>
    <col width="8" customWidth="1" style="17" min="2" max="3"/>
    <col width="22" customWidth="1" style="17" min="3" max="3"/>
    <col width="38" customWidth="1" style="17" min="4" max="4"/>
    <col hidden="1" width="12" customWidth="1" style="17" min="5" max="7"/>
    <col width="12" customWidth="1" style="17" min="6" max="6"/>
    <col width="9" customWidth="1" style="17" min="7" max="7"/>
    <col width="32" customWidth="1" style="17" min="8" max="10"/>
    <col width="42" customWidth="1" style="17" min="9" max="9"/>
    <col width="52" customWidth="1" style="17" min="10" max="10"/>
    <col width="22" customWidth="1" style="17" min="11" max="12"/>
    <col width="14" customWidth="1" style="17" min="12" max="12"/>
    <col width="14" customWidth="1" style="17" min="13" max="13"/>
    <col width="22" customWidth="1" style="17" min="14" max="14"/>
    <col width="12" customWidth="1" style="17" min="15" max="21"/>
    <col width="12" customWidth="1" style="17" min="16" max="16"/>
    <col width="12" customWidth="1" style="17" min="17" max="17"/>
    <col width="12" customWidth="1" style="17" min="18" max="18"/>
    <col width="12" customWidth="1" style="17" min="19" max="19"/>
    <col width="12" customWidth="1" style="17" min="20" max="20"/>
    <col width="12" customWidth="1" style="17" min="21" max="21"/>
    <col width="8.6640625" customWidth="1" style="17" min="22" max="26"/>
  </cols>
  <sheetData>
    <row r="1" ht="17" customHeight="1" s="17">
      <c r="A1" s="21" t="inlineStr">
        <is>
          <t>TEST CASES — II.5.1.1.5. Thêm mới code phí dành cho KHDN</t>
        </is>
      </c>
    </row>
    <row r="2" ht="16" customHeight="1" s="17">
      <c r="A2" s="1" t="inlineStr">
        <is>
          <t>TC_ID</t>
        </is>
      </c>
      <c r="B2" s="1" t="inlineStr">
        <is>
          <t>Module</t>
        </is>
      </c>
      <c r="C2" s="1" t="inlineStr">
        <is>
          <t>Feature</t>
        </is>
      </c>
      <c r="D2" s="1" t="inlineStr">
        <is>
          <t>Title</t>
        </is>
      </c>
      <c r="E2" s="1" t="inlineStr">
        <is>
          <t>Type</t>
        </is>
      </c>
      <c r="F2" s="1" t="inlineStr">
        <is>
          <t>Category</t>
        </is>
      </c>
      <c r="G2" s="1" t="inlineStr">
        <is>
          <t>Priority</t>
        </is>
      </c>
      <c r="H2" s="1" t="inlineStr">
        <is>
          <t>Precondition</t>
        </is>
      </c>
      <c r="I2" s="1" t="inlineStr">
        <is>
          <t>Steps</t>
        </is>
      </c>
      <c r="J2" s="1" t="inlineStr">
        <is>
          <t>Expected</t>
        </is>
      </c>
      <c r="K2" s="1" t="inlineStr">
        <is>
          <t>URD_Ref</t>
        </is>
      </c>
      <c r="L2" s="1" t="inlineStr">
        <is>
          <t>BR_Ref</t>
        </is>
      </c>
      <c r="M2" s="1" t="inlineStr">
        <is>
          <t>Trace_ID</t>
        </is>
      </c>
      <c r="N2" s="1" t="inlineStr">
        <is>
          <t>Note</t>
        </is>
      </c>
      <c r="O2" s="1" t="inlineStr">
        <is>
          <t>Status R1</t>
        </is>
      </c>
      <c r="P2" s="1" t="inlineStr">
        <is>
          <t>Tester R1</t>
        </is>
      </c>
      <c r="Q2" s="1" t="inlineStr">
        <is>
          <t>Date R1</t>
        </is>
      </c>
      <c r="R2" s="1" t="inlineStr">
        <is>
          <t>Status R2</t>
        </is>
      </c>
      <c r="S2" s="1" t="inlineStr">
        <is>
          <t>Tester R2</t>
        </is>
      </c>
      <c r="T2" s="1" t="inlineStr">
        <is>
          <t>Date R2</t>
        </is>
      </c>
      <c r="U2" s="1" t="inlineStr">
        <is>
          <t>Final Status</t>
        </is>
      </c>
    </row>
    <row r="3" ht="112" customHeight="1" s="17">
      <c r="A3" s="23" t="inlineStr">
        <is>
          <t>FC-KHDN-BR01-HAP-001</t>
        </is>
      </c>
      <c r="B3" s="23" t="inlineStr">
        <is>
          <t>FEE-CODE-KHDN</t>
        </is>
      </c>
      <c r="C3" s="23" t="inlineStr">
        <is>
          <t>II.5.1.1.5 - Thêm mới code phí dành cho KHDN</t>
        </is>
      </c>
      <c r="D3" s="23" t="inlineStr">
        <is>
          <t>Xác nhận khi đã nhập đủ trường bắt buộc</t>
        </is>
      </c>
      <c r="E3" s="23" t="inlineStr">
        <is>
          <t>Happy</t>
        </is>
      </c>
      <c r="F3" s="23" t="inlineStr">
        <is>
          <t>Smoke</t>
        </is>
      </c>
      <c r="G3" s="23" t="inlineStr">
        <is>
          <t>P1</t>
        </is>
      </c>
      <c r="H3" s="23" t="inlineStr">
        <is>
          <t>1. Maker đăng nhập tồn tại SPDV cấp cuối đã duyệt ngày T=2026-03-16 cấu hình VAT mặc định.</t>
        </is>
      </c>
      <c r="I3" s="23" t="inlineStr">
        <is>
          <t>1. Vào chi tiết SPDV cấp cuối -&gt; Bấm 'Thêm code phí'.
2. Nhập Thông tin chung: Loại KH=KHTC/DNSN, chọn Loại tính phí, chọn Loại tiền.
3. Nhập Điều kiện tính phí tương ứng.
4. Chọn Công thức đã phê duyệt &amp; nhập mức phí áp dụng chung.
5. Bấm 'Xác nhận' tại Footer.</t>
        </is>
      </c>
      <c r="J3" s="23" t="inlineStr">
        <is>
          <t>(i) Hệ thống gửi yêu cầu thành công.
(ii) Hiển thị Toast thông báo: 'Đã tạo yêu cầu thêm mới thành công'.
(iii) Bản ghi mới sinh ra ở Dashboard 'Tác vụ chờ duyệt' với trạng thái 'Chờ duyệt'.</t>
        </is>
      </c>
      <c r="K3" s="23" t="inlineStr">
        <is>
          <t>II.5.1.1.5</t>
        </is>
      </c>
      <c r="L3" s="23" t="inlineStr">
        <is>
          <t>BR_01</t>
        </is>
      </c>
      <c r="M3" s="23" t="inlineStr">
        <is>
          <t>BR01-MANDATORY-PASS</t>
        </is>
      </c>
      <c r="N3" s="23" t="n"/>
      <c r="O3" s="23" t="n"/>
      <c r="P3" s="23" t="n"/>
      <c r="Q3" s="23" t="n"/>
      <c r="R3" s="23" t="n"/>
      <c r="S3" s="23" t="n"/>
      <c r="T3" s="23" t="n"/>
      <c r="U3" s="23">
        <f>IF(R3&lt;&gt;"", R3, O3)</f>
        <v/>
      </c>
    </row>
    <row r="4" ht="80" customHeight="1" s="17">
      <c r="A4" s="23" t="inlineStr">
        <is>
          <t>FC-KHDN-BR01-NEG-002</t>
        </is>
      </c>
      <c r="B4" s="23" t="inlineStr">
        <is>
          <t>FEE-CODE-KHDN</t>
        </is>
      </c>
      <c r="C4" s="23" t="inlineStr">
        <is>
          <t>II.5.1.1.5 - Thêm mới code phí dành cho KHDN</t>
        </is>
      </c>
      <c r="D4" s="23" t="inlineStr">
        <is>
          <t>Chặn xác nhận khi thiếu bất kỳ trường bắt buộc</t>
        </is>
      </c>
      <c r="E4" s="23" t="inlineStr">
        <is>
          <t>Negative</t>
        </is>
      </c>
      <c r="F4" s="23" t="inlineStr">
        <is>
          <t>Regression</t>
        </is>
      </c>
      <c r="G4" s="23" t="inlineStr">
        <is>
          <t>P1</t>
        </is>
      </c>
      <c r="H4" s="23" t="inlineStr">
        <is>
          <t>1. Maker đăng nhập có SPDV cấp cuối đã duyệt T=2026-03-16.</t>
        </is>
      </c>
      <c r="I4" s="23" t="inlineStr">
        <is>
          <t>1. Mở form 'Thêm code phí'.
2. Để trống ít nhất 1 trường bắt buộc (*).
3. Bấm 'Xác nhận'.</t>
        </is>
      </c>
      <c r="J4" s="23" t="inlineStr">
        <is>
          <t>(i) Hệ thống chặn lưu; viền đỏ các ô thiếu và hiển thị tooltip lỗi.
(ii) Không sinh bản ghi 'Chờ duyệt' trong cơ sở dữ liệu.</t>
        </is>
      </c>
      <c r="K4" s="23" t="inlineStr">
        <is>
          <t>II.5.1.1.5</t>
        </is>
      </c>
      <c r="L4" s="23" t="inlineStr">
        <is>
          <t>BR_01</t>
        </is>
      </c>
      <c r="M4" s="23" t="inlineStr">
        <is>
          <t>BR01-MANDATORY-FAIL</t>
        </is>
      </c>
      <c r="N4" s="23" t="n"/>
      <c r="O4" s="23" t="n"/>
      <c r="P4" s="23" t="n"/>
      <c r="Q4" s="23" t="n"/>
      <c r="R4" s="23" t="n"/>
      <c r="S4" s="23" t="n"/>
      <c r="T4" s="23" t="n"/>
      <c r="U4" s="23">
        <f>IF(R4&lt;&gt;"", R4, O4)</f>
        <v/>
      </c>
    </row>
    <row r="5" ht="80" customHeight="1" s="17">
      <c r="A5" s="23" t="inlineStr">
        <is>
          <t>FC-KHDN-BR02-HAP-003</t>
        </is>
      </c>
      <c r="B5" s="23" t="inlineStr">
        <is>
          <t>FEE-CODE-KHDN</t>
        </is>
      </c>
      <c r="C5" s="23" t="inlineStr">
        <is>
          <t>II.5.1.1.5 - Thêm mới code phí dành cho KHDN</t>
        </is>
      </c>
      <c r="D5" s="23" t="inlineStr">
        <is>
          <t>Đóng form không lưu dữ liệu vừa nhập</t>
        </is>
      </c>
      <c r="E5" s="23" t="inlineStr">
        <is>
          <t>Happy</t>
        </is>
      </c>
      <c r="F5" s="23" t="inlineStr">
        <is>
          <t>Regression</t>
        </is>
      </c>
      <c r="G5" s="23" t="inlineStr">
        <is>
          <t>P2</t>
        </is>
      </c>
      <c r="H5" s="23" t="inlineStr">
        <is>
          <t>1. Maker mở form nhập một số trường bất kỳ.</t>
        </is>
      </c>
      <c r="I5" s="23" t="inlineStr">
        <is>
          <t>1. Trên form đang có dữ liệu chưa lưu, chọn 'Đóng'.
2. Xác nhận popup (nếu có) 'Bạn có chắc muốn thoát?'.
3. Quay lại màn hình trước, mở lại form để kiểm tra.</t>
        </is>
      </c>
      <c r="J5" s="23" t="inlineStr">
        <is>
          <t>(i) Không tạo bản ghi, không sinh tác vụ.
(ii) Khi mở lại form, dữ liệu không còn; lưới/tree không xuất hiện bản ghi chờ duyệt.
(iii) Audit ghi nhận hành động đóng/thoát.</t>
        </is>
      </c>
      <c r="K5" s="23" t="inlineStr">
        <is>
          <t>II.5.1.1.5</t>
        </is>
      </c>
      <c r="L5" s="23" t="inlineStr">
        <is>
          <t>BR_02</t>
        </is>
      </c>
      <c r="M5" s="23" t="inlineStr">
        <is>
          <t>BR02-CLOSE-NO-SAVE</t>
        </is>
      </c>
      <c r="N5" s="23" t="n"/>
      <c r="O5" s="23" t="n"/>
      <c r="P5" s="23" t="n"/>
      <c r="Q5" s="23" t="n"/>
      <c r="R5" s="23" t="n"/>
      <c r="S5" s="23" t="n"/>
      <c r="T5" s="23" t="n"/>
      <c r="U5" s="23">
        <f>IF(R5&lt;&gt;"", R5, O5)</f>
        <v/>
      </c>
    </row>
    <row r="6" ht="80" customHeight="1" s="17">
      <c r="A6" s="23" t="inlineStr">
        <is>
          <t>FC-KHDN-BR03-HAP-004</t>
        </is>
      </c>
      <c r="B6" s="23" t="inlineStr">
        <is>
          <t>FEE-CODE-KHDN</t>
        </is>
      </c>
      <c r="C6" s="23" t="inlineStr">
        <is>
          <t>II.5.1.1.5 - Thêm mới code phí dành cho KHDN</t>
        </is>
      </c>
      <c r="D6" s="23" t="inlineStr">
        <is>
          <t>Loại tính phí chỉ gồm 2 lựa chọn và hiển thị đúng điều kiện nhập</t>
        </is>
      </c>
      <c r="E6" s="23" t="inlineStr">
        <is>
          <t>Happy</t>
        </is>
      </c>
      <c r="F6" s="23" t="inlineStr">
        <is>
          <t>Smoke</t>
        </is>
      </c>
      <c r="G6" s="23" t="inlineStr">
        <is>
          <t>P1</t>
        </is>
      </c>
      <c r="H6" s="23" t="inlineStr">
        <is>
          <t>1. Maker mở form.</t>
        </is>
      </c>
      <c r="I6" s="23" t="inlineStr">
        <is>
          <t>1. Tại Thông tin chung, mở combobox 'Loại tính phí'.
2. Chọn 'Theo giao dịch' và quan sát vùng Điều kiện tính phí.
3. Chuyển sang 'Định kỳ' và quan sát sự thay đổi vùng Điều kiện tính phí.</t>
        </is>
      </c>
      <c r="J6" s="23" t="inlineStr">
        <is>
          <t>(i) Danh sách chỉ có 'Theo giao dịch' và 'Định kỳ'.
(ii) Chọn 'Theo giao dịch' =&gt; chỉ hiển thị điều kiện theo Khách hàng và Giao dịch.
(iii) Chọn 'Định kỳ' =&gt; hiển thị điều kiện theo Khách hàng, Tài khoản, Thẻ.</t>
        </is>
      </c>
      <c r="K6" s="23" t="inlineStr">
        <is>
          <t>II.5.1.1.5</t>
        </is>
      </c>
      <c r="L6" s="23" t="inlineStr">
        <is>
          <t>BR_03</t>
        </is>
      </c>
      <c r="M6" s="23" t="inlineStr">
        <is>
          <t>BR03-FEETYPE-UI-BEHAV</t>
        </is>
      </c>
      <c r="N6" s="23" t="n"/>
      <c r="O6" s="23" t="n"/>
      <c r="P6" s="23" t="n"/>
      <c r="Q6" s="23" t="n"/>
      <c r="R6" s="23" t="n"/>
      <c r="S6" s="23" t="n"/>
      <c r="T6" s="23" t="n"/>
      <c r="U6" s="23">
        <f>IF(R6&lt;&gt;"", R6, O6)</f>
        <v/>
      </c>
    </row>
    <row r="7" ht="80" customHeight="1" s="17">
      <c r="A7" s="23" t="inlineStr">
        <is>
          <t>FC-KHDN-BR03-NEG-005</t>
        </is>
      </c>
      <c r="B7" s="23" t="inlineStr">
        <is>
          <t>FEE-CODE-KHDN</t>
        </is>
      </c>
      <c r="C7" s="23" t="inlineStr">
        <is>
          <t>II.5.1.1.5 - Thêm mới code phí dành cho KHDN</t>
        </is>
      </c>
      <c r="D7" s="23" t="inlineStr">
        <is>
          <t>Không cho phép chọn đồng thời 2 loại tính phí</t>
        </is>
      </c>
      <c r="E7" s="23" t="inlineStr">
        <is>
          <t>Negative</t>
        </is>
      </c>
      <c r="F7" s="23" t="inlineStr">
        <is>
          <t>Regression</t>
        </is>
      </c>
      <c r="G7" s="23" t="inlineStr">
        <is>
          <t>P2</t>
        </is>
      </c>
      <c r="H7" s="23" t="inlineStr">
        <is>
          <t>1. Maker mở form.</t>
        </is>
      </c>
      <c r="I7" s="23" t="inlineStr">
        <is>
          <t>1. Chọn 'Theo giao dịch'.
2. Cố gắng chọn thêm 'Định kỳ' (qua phím tắt/keyboard/mouse).</t>
        </is>
      </c>
      <c r="J7" s="23" t="inlineStr">
        <is>
          <t>(i) Chỉ một giá trị được chọn tại một thời điểm.
(ii) Không có trạng thái đa chọn; validation không báo lỗi khi chuyển đổi hợp lệ.</t>
        </is>
      </c>
      <c r="K7" s="23" t="inlineStr">
        <is>
          <t>II.5.1.1.5</t>
        </is>
      </c>
      <c r="L7" s="23" t="inlineStr">
        <is>
          <t>BR_03</t>
        </is>
      </c>
      <c r="M7" s="23" t="inlineStr">
        <is>
          <t>BR03-FEETYPE-SINGLESELECT</t>
        </is>
      </c>
      <c r="N7" s="23" t="n"/>
      <c r="O7" s="23" t="n"/>
      <c r="P7" s="23" t="n"/>
      <c r="Q7" s="23" t="n"/>
      <c r="R7" s="23" t="n"/>
      <c r="S7" s="23" t="n"/>
      <c r="T7" s="23" t="n"/>
      <c r="U7" s="23">
        <f>IF(R7&lt;&gt;"", R7, O7)</f>
        <v/>
      </c>
    </row>
    <row r="8" ht="80" customHeight="1" s="17">
      <c r="A8" s="23" t="inlineStr">
        <is>
          <t>FC-KHDN-BR04-HAP-006</t>
        </is>
      </c>
      <c r="B8" s="23" t="inlineStr">
        <is>
          <t>FEE-CODE-KHDN</t>
        </is>
      </c>
      <c r="C8" s="23" t="inlineStr">
        <is>
          <t>II.5.1.1.5 - Thêm mới code phí dành cho KHDN</t>
        </is>
      </c>
      <c r="D8" s="23" t="inlineStr">
        <is>
          <t>Danh sách Công thức tính phí chỉ hiển thị các công thức đã được phê duyệt</t>
        </is>
      </c>
      <c r="E8" s="23" t="inlineStr">
        <is>
          <t>Integration</t>
        </is>
      </c>
      <c r="F8" s="23" t="inlineStr">
        <is>
          <t>Smoke</t>
        </is>
      </c>
      <c r="G8" s="23" t="inlineStr">
        <is>
          <t>P1</t>
        </is>
      </c>
      <c r="H8" s="23" t="inlineStr">
        <is>
          <t>1. Kho dữ liệu có công thức ở các trạng thái: Đã phê duyệt, Từ chối, Nháp.</t>
        </is>
      </c>
      <c r="I8" s="23" t="inlineStr">
        <is>
          <t>1. Mở dropdown 'Công thức tính phí'.
2. Đối chiếu danh sách hiển thị với kho dữ liệu.
3. Chọn một công thức trạng thái 'Đã phê duyệt'.</t>
        </is>
      </c>
      <c r="J8" s="23" t="inlineStr">
        <is>
          <t>(i) Chỉ hiển thị bản ghi ở trạng thái đã được Checker phê duyệt.
(ii) Không hiển thị công thức ở trạng thái Nháp/Từ chối.
(iii) Cho phép chọn một công thức hợp lệ.</t>
        </is>
      </c>
      <c r="K8" s="23" t="inlineStr">
        <is>
          <t>II.5.1.1.5</t>
        </is>
      </c>
      <c r="L8" s="23" t="inlineStr">
        <is>
          <t>BR_04</t>
        </is>
      </c>
      <c r="M8" s="23" t="inlineStr">
        <is>
          <t>BR04-FORMULA-APPROVED-ONLY</t>
        </is>
      </c>
      <c r="N8" s="23" t="n"/>
      <c r="O8" s="23" t="n"/>
      <c r="P8" s="23" t="n"/>
      <c r="Q8" s="23" t="n"/>
      <c r="R8" s="23" t="n"/>
      <c r="S8" s="23" t="n"/>
      <c r="T8" s="23" t="n"/>
      <c r="U8" s="23">
        <f>IF(R8&lt;&gt;"", R8, O8)</f>
        <v/>
      </c>
    </row>
    <row r="9" ht="80" customHeight="1" s="17">
      <c r="A9" s="23" t="inlineStr">
        <is>
          <t>FC-KHDN-BR04-NEG-007</t>
        </is>
      </c>
      <c r="B9" s="23" t="inlineStr">
        <is>
          <t>FEE-CODE-KHDN</t>
        </is>
      </c>
      <c r="C9" s="23" t="inlineStr">
        <is>
          <t>II.5.1.1.5 - Thêm mới code phí dành cho KHDN</t>
        </is>
      </c>
      <c r="D9" s="23" t="inlineStr">
        <is>
          <t>Ẩn công thức chưa được phê duyệt khỏi dropdown</t>
        </is>
      </c>
      <c r="E9" s="23" t="inlineStr">
        <is>
          <t>Negative</t>
        </is>
      </c>
      <c r="F9" s="23" t="inlineStr">
        <is>
          <t>Regression</t>
        </is>
      </c>
      <c r="G9" s="23" t="inlineStr">
        <is>
          <t>P2</t>
        </is>
      </c>
      <c r="H9" s="23" t="inlineStr">
        <is>
          <t>1. Có ít nhất 1 công thức Nháp/Từ chối.</t>
        </is>
      </c>
      <c r="I9" s="23" t="inlineStr">
        <is>
          <t>1. Mở dropdown 'Công thức tính phí'.
2. Tìm theo mã của công thức chưa phê duyệt.</t>
        </is>
      </c>
      <c r="J9" s="23" t="inlineStr">
        <is>
          <t>(i) Không tìm thấy kết quả.
(ii) Không thể chọn công thức chưa phê duyệt.</t>
        </is>
      </c>
      <c r="K9" s="23" t="inlineStr">
        <is>
          <t>II.5.1.1.5</t>
        </is>
      </c>
      <c r="L9" s="23" t="inlineStr">
        <is>
          <t>BR_04</t>
        </is>
      </c>
      <c r="M9" s="23" t="inlineStr">
        <is>
          <t>BR04-FORMULA-EXCLUDE</t>
        </is>
      </c>
      <c r="N9" s="23" t="n"/>
      <c r="O9" s="23" t="n"/>
      <c r="P9" s="23" t="n"/>
      <c r="Q9" s="23" t="n"/>
      <c r="R9" s="23" t="n"/>
      <c r="S9" s="23" t="n"/>
      <c r="T9" s="23" t="n"/>
      <c r="U9" s="23">
        <f>IF(R9&lt;&gt;"", R9, O9)</f>
        <v/>
      </c>
    </row>
    <row r="10" ht="80" customHeight="1" s="17">
      <c r="A10" s="23" t="inlineStr">
        <is>
          <t>FC-KHDN-BR05-NEG-008</t>
        </is>
      </c>
      <c r="B10" s="23" t="inlineStr">
        <is>
          <t>FEE-CODE-KHDN</t>
        </is>
      </c>
      <c r="C10" s="23" t="inlineStr">
        <is>
          <t>II.5.1.1.5 - Thêm mới code phí dành cho KHDN</t>
        </is>
      </c>
      <c r="D10" s="23" t="inlineStr">
        <is>
          <t>Một code phí chỉ áp dụng 1 công thức tính phí</t>
        </is>
      </c>
      <c r="E10" s="23" t="inlineStr">
        <is>
          <t>Negative</t>
        </is>
      </c>
      <c r="F10" s="23" t="inlineStr">
        <is>
          <t>Regression</t>
        </is>
      </c>
      <c r="G10" s="23" t="inlineStr">
        <is>
          <t>P1</t>
        </is>
      </c>
      <c r="H10" s="23" t="inlineStr">
        <is>
          <t>1. Form đang nhập đã chọn một công thức.</t>
        </is>
      </c>
      <c r="I10" s="23" t="inlineStr">
        <is>
          <t>1. Sau khi đã chọn công thức A, cố gắng thêm công thức B (nếu UI hỗ trợ nhiều dòng/mức).
2. Nhấn 'Xác nhận'.</t>
        </is>
      </c>
      <c r="J10" s="23" t="inlineStr">
        <is>
          <t>(i) Hệ thống từ chối lưu nếu phát hiện &gt;1 công thức gắn với cùng code.
(ii) Thông báo lỗi rõ ràng; không sinh bản ghi.</t>
        </is>
      </c>
      <c r="K10" s="23" t="inlineStr">
        <is>
          <t>II.5.1.1.5</t>
        </is>
      </c>
      <c r="L10" s="23" t="inlineStr">
        <is>
          <t>BR_05</t>
        </is>
      </c>
      <c r="M10" s="23" t="inlineStr">
        <is>
          <t>BR05-ONE-FORMULA-ONLY</t>
        </is>
      </c>
      <c r="N10" s="23" t="n"/>
      <c r="O10" s="23" t="n"/>
      <c r="P10" s="23" t="n"/>
      <c r="Q10" s="23" t="n"/>
      <c r="R10" s="23" t="n"/>
      <c r="S10" s="23" t="n"/>
      <c r="T10" s="23" t="n"/>
      <c r="U10" s="23">
        <f>IF(R10&lt;&gt;"", R10, O10)</f>
        <v/>
      </c>
    </row>
    <row r="11" ht="80" customHeight="1" s="17">
      <c r="A11" s="23" t="inlineStr">
        <is>
          <t>FC-KHDN-BR05-HAP-009</t>
        </is>
      </c>
      <c r="B11" s="23" t="inlineStr">
        <is>
          <t>FEE-CODE-KHDN</t>
        </is>
      </c>
      <c r="C11" s="23" t="inlineStr">
        <is>
          <t>II.5.1.1.5 - Thêm mới code phí dành cho KHDN</t>
        </is>
      </c>
      <c r="D11" s="23" t="inlineStr">
        <is>
          <t>Lưu thành công khi chỉ chọn đúng 1 công thức</t>
        </is>
      </c>
      <c r="E11" s="23" t="inlineStr">
        <is>
          <t>Happy</t>
        </is>
      </c>
      <c r="F11" s="23" t="inlineStr">
        <is>
          <t>Smoke</t>
        </is>
      </c>
      <c r="G11" s="23" t="inlineStr">
        <is>
          <t>P1</t>
        </is>
      </c>
      <c r="H11" s="23" t="inlineStr">
        <is>
          <t>1. Như BR01-HAP-001 nhưng đảm bảo chỉ 1 công thức.</t>
        </is>
      </c>
      <c r="I11" s="23" t="inlineStr">
        <is>
          <t>1. Hoàn thiện dữ liệu, chọn duy nhất 1 công thức.
2. 'Xác nhận'.</t>
        </is>
      </c>
      <c r="J11" s="23" t="inlineStr">
        <is>
          <t>(i) Lưu thành công; trạng thái 'Chờ duyệt'.
(ii) Ghi nhận ID công thức duy nhất trong bản ghi.</t>
        </is>
      </c>
      <c r="K11" s="23" t="inlineStr">
        <is>
          <t>II.5.1.1.5</t>
        </is>
      </c>
      <c r="L11" s="23" t="inlineStr">
        <is>
          <t>BR_05</t>
        </is>
      </c>
      <c r="M11" s="23" t="inlineStr">
        <is>
          <t>BR05-SUCCESS-ONE</t>
        </is>
      </c>
      <c r="N11" s="23" t="n"/>
      <c r="O11" s="23" t="n"/>
      <c r="P11" s="23" t="n"/>
      <c r="Q11" s="23" t="n"/>
      <c r="R11" s="23" t="n"/>
      <c r="S11" s="23" t="n"/>
      <c r="T11" s="23" t="n"/>
      <c r="U11" s="23">
        <f>IF(R11&lt;&gt;"", R11, O11)</f>
        <v/>
      </c>
    </row>
    <row r="12" ht="80" customHeight="1" s="17">
      <c r="A12" s="23" t="inlineStr">
        <is>
          <t>FC-KHDN-BR06-HAP-010</t>
        </is>
      </c>
      <c r="B12" s="23" t="inlineStr">
        <is>
          <t>FEE-CODE-KHDN</t>
        </is>
      </c>
      <c r="C12" s="23" t="inlineStr">
        <is>
          <t>II.5.1.1.5 - Thêm mới code phí dành cho KHDN</t>
        </is>
      </c>
      <c r="D12" s="23" t="inlineStr">
        <is>
          <t>Mức phí áp dụng chung cho KHTC/DNSN theo điều kiện code phí</t>
        </is>
      </c>
      <c r="E12" s="23" t="inlineStr">
        <is>
          <t>Integration</t>
        </is>
      </c>
      <c r="F12" s="23" t="inlineStr">
        <is>
          <t>Regression</t>
        </is>
      </c>
      <c r="G12" s="23" t="inlineStr">
        <is>
          <t>P2</t>
        </is>
      </c>
      <c r="H12" s="23" t="inlineStr">
        <is>
          <t>1. Có các khách hàng KHTC/DNSN khác nhau thỏa điều kiện code phí mới tạo.</t>
        </is>
      </c>
      <c r="I12" s="23" t="inlineStr">
        <is>
          <t>1. Tạo code phí với Loại khách hàng=KHTC/DNSN.
2. Giả lập 2 giao dịch từ 2 khách hàng khác nhau nhưng thỏa điều kiện.
3. Đối chiếu mức phí áp dụng.</t>
        </is>
      </c>
      <c r="J12" s="23" t="inlineStr">
        <is>
          <t>(i) Cùng một mức phí được áp dụng cho tất cả khách hàng KHTC/DNSN thỏa điều kiện.
(ii) Không phát sinh phân biệt theo từng khách hàng cụ thể.</t>
        </is>
      </c>
      <c r="K12" s="23" t="inlineStr">
        <is>
          <t>II.5.1.1.5</t>
        </is>
      </c>
      <c r="L12" s="23" t="inlineStr">
        <is>
          <t>BR_06</t>
        </is>
      </c>
      <c r="M12" s="23" t="inlineStr">
        <is>
          <t>BR06-CUSTTYPE-APPLY</t>
        </is>
      </c>
      <c r="N12" s="23" t="n"/>
      <c r="O12" s="23" t="n"/>
      <c r="P12" s="23" t="n"/>
      <c r="Q12" s="23" t="n"/>
      <c r="R12" s="23" t="n"/>
      <c r="S12" s="23" t="n"/>
      <c r="T12" s="23" t="n"/>
      <c r="U12" s="23">
        <f>IF(R12&lt;&gt;"", R12, O12)</f>
        <v/>
      </c>
    </row>
    <row r="13" ht="80" customHeight="1" s="17">
      <c r="A13" s="23" t="inlineStr">
        <is>
          <t>FC-KHDN-BR07-NEG-011</t>
        </is>
      </c>
      <c r="B13" s="23" t="inlineStr">
        <is>
          <t>FEE-CODE-KHDN</t>
        </is>
      </c>
      <c r="C13" s="23" t="inlineStr">
        <is>
          <t>II.5.1.1.5 - Thêm mới code phí dành cho KHDN</t>
        </is>
      </c>
      <c r="D13" s="23" t="inlineStr">
        <is>
          <t>Từ chối khi Mã code phí bị trùng</t>
        </is>
      </c>
      <c r="E13" s="23" t="inlineStr">
        <is>
          <t>Negative</t>
        </is>
      </c>
      <c r="F13" s="23" t="inlineStr">
        <is>
          <t>Smoke</t>
        </is>
      </c>
      <c r="G13" s="23" t="inlineStr">
        <is>
          <t>P1</t>
        </is>
      </c>
      <c r="H13" s="23" t="inlineStr">
        <is>
          <t>1. Trong hệ thống đã tồn tại mã CODE=KHTC_XXXX_001.</t>
        </is>
      </c>
      <c r="I13" s="23" t="inlineStr">
        <is>
          <t>1. Nhập Mã code phí = mã đã tồn tại.
2. Hoàn thiện dữ liệu và 'Xác nhận'.</t>
        </is>
      </c>
      <c r="J13" s="23" t="inlineStr">
        <is>
          <t>(i) Hệ thống từ chối với thông báo 'Mã code phí đã tồn tại'.
(ii) Không sinh bản ghi/tác vụ.</t>
        </is>
      </c>
      <c r="K13" s="23" t="inlineStr">
        <is>
          <t>II.5.1.1.5</t>
        </is>
      </c>
      <c r="L13" s="23" t="inlineStr">
        <is>
          <t>BR_07</t>
        </is>
      </c>
      <c r="M13" s="23" t="inlineStr">
        <is>
          <t>BR07-UNIQUE-ENFORCE</t>
        </is>
      </c>
      <c r="N13" s="23" t="n"/>
      <c r="O13" s="23" t="n"/>
      <c r="P13" s="23" t="n"/>
      <c r="Q13" s="23" t="n"/>
      <c r="R13" s="23" t="n"/>
      <c r="S13" s="23" t="n"/>
      <c r="T13" s="23" t="n"/>
      <c r="U13" s="23">
        <f>IF(R13&lt;&gt;"", R13, O13)</f>
        <v/>
      </c>
    </row>
    <row r="14" ht="80" customHeight="1" s="17">
      <c r="A14" s="23" t="inlineStr">
        <is>
          <t>FC-KHDN-BR07-HAP-012</t>
        </is>
      </c>
      <c r="B14" s="23" t="inlineStr">
        <is>
          <t>FEE-CODE-KHDN</t>
        </is>
      </c>
      <c r="C14" s="23" t="inlineStr">
        <is>
          <t>II.5.1.1.5 - Thêm mới code phí dành cho KHDN</t>
        </is>
      </c>
      <c r="D14" s="23" t="inlineStr">
        <is>
          <t>Chấp nhận khi Mã code phí là duy nhất</t>
        </is>
      </c>
      <c r="E14" s="23" t="inlineStr">
        <is>
          <t>Happy</t>
        </is>
      </c>
      <c r="F14" s="23" t="inlineStr">
        <is>
          <t>Regression</t>
        </is>
      </c>
      <c r="G14" s="23" t="inlineStr">
        <is>
          <t>P2</t>
        </is>
      </c>
      <c r="H14" s="23" t="inlineStr">
        <is>
          <t>1. Không tồn tại mã trùng.</t>
        </is>
      </c>
      <c r="I14" s="23" t="inlineStr">
        <is>
          <t>1. Nhập mã mới chưa tồn tại.
2. 'Xác nhận'.</t>
        </is>
      </c>
      <c r="J14" s="23" t="inlineStr">
        <is>
          <t>(i) Lưu thành công; ghi nhận mã duy nhất.
(ii) Log kiểm tra uniqueness pass.</t>
        </is>
      </c>
      <c r="K14" s="23" t="inlineStr">
        <is>
          <t>II.5.1.1.5</t>
        </is>
      </c>
      <c r="L14" s="23" t="inlineStr">
        <is>
          <t>BR_07</t>
        </is>
      </c>
      <c r="M14" s="23" t="inlineStr">
        <is>
          <t>BR07-UNIQUE-PASS</t>
        </is>
      </c>
      <c r="N14" s="23" t="n"/>
      <c r="O14" s="23" t="n"/>
      <c r="P14" s="23" t="n"/>
      <c r="Q14" s="23" t="n"/>
      <c r="R14" s="23" t="n"/>
      <c r="S14" s="23" t="n"/>
      <c r="T14" s="23" t="n"/>
      <c r="U14" s="23">
        <f>IF(R14&lt;&gt;"", R14, O14)</f>
        <v/>
      </c>
    </row>
    <row r="15" ht="80" customHeight="1" s="17">
      <c r="A15" s="23" t="inlineStr">
        <is>
          <t>FC-KHDN-BR08-NEG-013</t>
        </is>
      </c>
      <c r="B15" s="23" t="inlineStr">
        <is>
          <t>FEE-CODE-KHDN</t>
        </is>
      </c>
      <c r="C15" s="23" t="inlineStr">
        <is>
          <t>II.5.1.1.5 - Thêm mới code phí dành cho KHDN</t>
        </is>
      </c>
      <c r="D15" s="23" t="inlineStr">
        <is>
          <t>Từ chối Mã code phí sai định dạng độ dài/khoảng trắng/ký tự</t>
        </is>
      </c>
      <c r="E15" s="23" t="inlineStr">
        <is>
          <t>Boundary</t>
        </is>
      </c>
      <c r="F15" s="23" t="inlineStr">
        <is>
          <t>Smoke</t>
        </is>
      </c>
      <c r="G15" s="23" t="inlineStr">
        <is>
          <t>P1</t>
        </is>
      </c>
      <c r="H15" s="23" t="inlineStr">
        <is>
          <t>1. Form mở.</t>
        </is>
      </c>
      <c r="I15" s="23" t="inlineStr">
        <is>
          <t>1. Thử nhập Mã code phí có độ dài 10 hoặc 12 ký tự.
2. Thử nhập mã chứa dấu cách hoặc ký tự đặc biệt (!, @, #).
3. Bấm 'Xác nhận'.</t>
        </is>
      </c>
      <c r="J15" s="23" t="inlineStr">
        <is>
          <t>(i) Hệ thống thông báo lỗi: 'Mã code phí không đúng định dạng (11 ký tự Chữ+Số viết hoa)'.
(ii) Chặn hành động Lưu dữ liệu.
[v0.9] Mã code phí là mã HỆ THỐNG TỰ SINH, người dùng không được nhập thủ công.</t>
        </is>
      </c>
      <c r="K15" s="23" t="inlineStr">
        <is>
          <t>II.5.1.1.5</t>
        </is>
      </c>
      <c r="L15" s="23" t="inlineStr">
        <is>
          <t>BR_08</t>
        </is>
      </c>
      <c r="M15" s="23" t="inlineStr">
        <is>
          <t>BR08-FORMAT-ENFORCE</t>
        </is>
      </c>
      <c r="N15" s="23" t="inlineStr">
        <is>
          <t>[v0.9-UPD] BR_08: mã tự sinh</t>
        </is>
      </c>
      <c r="O15" s="23" t="n"/>
      <c r="P15" s="23" t="n"/>
      <c r="Q15" s="23" t="n"/>
      <c r="R15" s="23" t="n"/>
      <c r="S15" s="23" t="n"/>
      <c r="T15" s="23" t="n"/>
      <c r="U15" s="23">
        <f>IF(R15&lt;&gt;"", R15, O15)</f>
        <v/>
      </c>
    </row>
    <row r="16" ht="80" customHeight="1" s="17">
      <c r="A16" s="23" t="inlineStr">
        <is>
          <t>FC-KHDN-BR08-HAP-014</t>
        </is>
      </c>
      <c r="B16" s="23" t="inlineStr">
        <is>
          <t>FEE-CODE-KHDN</t>
        </is>
      </c>
      <c r="C16" s="23" t="inlineStr">
        <is>
          <t>II.5.1.1.5 - Thêm mới code phí dành cho KHDN</t>
        </is>
      </c>
      <c r="D16" s="23" t="inlineStr">
        <is>
          <t>Chấp nhận Mã code phí đúng cấu trúc [Phân khúc]_[Nhóm SPDV]_[Thứ tự]</t>
        </is>
      </c>
      <c r="E16" s="23" t="inlineStr">
        <is>
          <t>Happy</t>
        </is>
      </c>
      <c r="F16" s="23" t="inlineStr">
        <is>
          <t>Regression</t>
        </is>
      </c>
      <c r="G16" s="23" t="inlineStr">
        <is>
          <t>P2</t>
        </is>
      </c>
      <c r="H16" s="23" t="inlineStr">
        <is>
          <t>1. Có SPDV cấp 2 tên 4 chữ cái đầu lấy được bộ đếm thứ tự còn slot.</t>
        </is>
      </c>
      <c r="I16" s="23" t="inlineStr">
        <is>
          <t>1. Nhập mã hợp lệ ví dụ: KHTC_ABCD_001.
2. 'Xác nhận'.</t>
        </is>
      </c>
      <c r="J16" s="23" t="inlineStr">
        <is>
          <t>(i) Hệ thống chấp nhận; xác thực đủ 11 ký tự theo cấu trúc.
(ii) Lưu thành công.
[v0.9] Mã code phí là mã HỆ THỐNG TỰ SINH, người dùng không được nhập thủ công.</t>
        </is>
      </c>
      <c r="K16" s="23" t="inlineStr">
        <is>
          <t>II.5.1.1.5</t>
        </is>
      </c>
      <c r="L16" s="23" t="inlineStr">
        <is>
          <t>BR_08</t>
        </is>
      </c>
      <c r="M16" s="23" t="inlineStr">
        <is>
          <t>BR08-FORMAT-PASS</t>
        </is>
      </c>
      <c r="N16" s="23" t="inlineStr">
        <is>
          <t>[v0.9-UPD] BR_08: mã tự sinh</t>
        </is>
      </c>
      <c r="O16" s="23" t="n"/>
      <c r="P16" s="23" t="n"/>
      <c r="Q16" s="23" t="n"/>
      <c r="R16" s="23" t="n"/>
      <c r="S16" s="23" t="n"/>
      <c r="T16" s="23" t="n"/>
      <c r="U16" s="23">
        <f>IF(R16&lt;&gt;"", R16, O16)</f>
        <v/>
      </c>
    </row>
    <row r="17" ht="96" customHeight="1" s="17">
      <c r="A17" s="23" t="inlineStr">
        <is>
          <t>FC-KHDN-BR09-CAL-015</t>
        </is>
      </c>
      <c r="B17" s="23" t="inlineStr">
        <is>
          <t>FEE-CODE-KHDN</t>
        </is>
      </c>
      <c r="C17" s="23" t="inlineStr">
        <is>
          <t>II.5.1.1.5 - Thêm mới code phí dành cho KHDN</t>
        </is>
      </c>
      <c r="D17" s="23" t="inlineStr">
        <is>
          <t>Sinh/kiểm tra thành phần mã: phân khúc 4 ký tự in hoa, nhóm SPDV 4 ký tự, thứ tự 001-999 tự tăng</t>
        </is>
      </c>
      <c r="E17" s="23" t="inlineStr">
        <is>
          <t>Calculation</t>
        </is>
      </c>
      <c r="F17" s="23" t="inlineStr">
        <is>
          <t>Regression</t>
        </is>
      </c>
      <c r="G17" s="23" t="inlineStr">
        <is>
          <t>P2</t>
        </is>
      </c>
      <c r="H17" s="23" t="inlineStr">
        <is>
          <t>1. Cấu hình bộ đếm theo phân loại nghiệp vụ có sẵn 001-002.</t>
        </is>
      </c>
      <c r="I17" s="23" t="inlineStr">
        <is>
          <t>1. Chọn Loại khách hàng để lấy phân khúc.
2. Chọn SPDV cấp 2 để lấy nhóm 4 ký tự đầu.
3. Nhập/thao tác để hệ thống đề xuất Thứ tự tiếp theo (tự tăng).
4. Lưu và kiểm tra phần Thứ tự.</t>
        </is>
      </c>
      <c r="J17" s="23" t="inlineStr">
        <is>
          <t>(i) Phân khúc = 4 ký tự in hoa từ Loại khách hàng.
(ii) Nhóm SPDV = 4 chữ cái đầu của Tên SPDV cấp
2.
(iii) Thứ tự = số tự tăng kế tiếp trong khoảng
001..999, không tràn.
(iv) Nếu hết 999, hiển thị lỗi hết dải.</t>
        </is>
      </c>
      <c r="K17" s="23" t="inlineStr">
        <is>
          <t>II.5.1.1.5</t>
        </is>
      </c>
      <c r="L17" s="23" t="inlineStr">
        <is>
          <t>BR_09</t>
        </is>
      </c>
      <c r="M17" s="23" t="inlineStr">
        <is>
          <t>BR09-CODE-COMPONENTS</t>
        </is>
      </c>
      <c r="N17" s="23" t="n"/>
      <c r="O17" s="23" t="n"/>
      <c r="P17" s="23" t="n"/>
      <c r="Q17" s="23" t="n"/>
      <c r="R17" s="23" t="n"/>
      <c r="S17" s="23" t="n"/>
      <c r="T17" s="23" t="n"/>
      <c r="U17" s="23">
        <f>IF(R17&lt;&gt;"", R17, O17)</f>
        <v/>
      </c>
    </row>
    <row r="18" ht="80" customHeight="1" s="17">
      <c r="A18" s="23" t="inlineStr">
        <is>
          <t>FC-KHDN-BR10-NEG-016</t>
        </is>
      </c>
      <c r="B18" s="23" t="inlineStr">
        <is>
          <t>FEE-CODE-KHDN</t>
        </is>
      </c>
      <c r="C18" s="23" t="inlineStr">
        <is>
          <t>II.5.1.1.5 - Thêm mới code phí dành cho KHDN</t>
        </is>
      </c>
      <c r="D18" s="23" t="inlineStr">
        <is>
          <t>Không cho phép chỉnh sửa trường Mã code phí sau khi tạo</t>
        </is>
      </c>
      <c r="E18" s="23" t="inlineStr">
        <is>
          <t>Security</t>
        </is>
      </c>
      <c r="F18" s="23" t="inlineStr">
        <is>
          <t>Regression</t>
        </is>
      </c>
      <c r="G18" s="23" t="inlineStr">
        <is>
          <t>P1</t>
        </is>
      </c>
      <c r="H18" s="23" t="inlineStr">
        <is>
          <t>1. Có bản ghi code phí ở trạng thái Chờ duyệt/Đã duyệt.</t>
        </is>
      </c>
      <c r="I18" s="23" t="inlineStr">
        <is>
          <t>1. Mở chi tiết bản ghi code phí vừa tạo.
2. Thử chỉnh sửa trường Mã code phí.
3. Lưu thay đổi.</t>
        </is>
      </c>
      <c r="J18" s="23" t="inlineStr">
        <is>
          <t>(i) Trường mã ở trạng thái read-only; không thể nhập.
(ii) Không có thay đổi mã trong DB/audit.</t>
        </is>
      </c>
      <c r="K18" s="23" t="inlineStr">
        <is>
          <t>II.5.1.1.5</t>
        </is>
      </c>
      <c r="L18" s="23" t="inlineStr">
        <is>
          <t>BR_10</t>
        </is>
      </c>
      <c r="M18" s="23" t="inlineStr">
        <is>
          <t>BR10-CODE-READONLY</t>
        </is>
      </c>
      <c r="N18" s="23" t="n"/>
      <c r="O18" s="23" t="n"/>
      <c r="P18" s="23" t="n"/>
      <c r="Q18" s="23" t="n"/>
      <c r="R18" s="23" t="n"/>
      <c r="S18" s="23" t="n"/>
      <c r="T18" s="23" t="n"/>
      <c r="U18" s="23">
        <f>IF(R18&lt;&gt;"", R18, O18)</f>
        <v/>
      </c>
    </row>
    <row r="19" ht="80" customHeight="1" s="17">
      <c r="A19" s="23" t="inlineStr">
        <is>
          <t>FC-KHDN-BR11-HAP-017</t>
        </is>
      </c>
      <c r="B19" s="23" t="inlineStr">
        <is>
          <t>FEE-CODE-KHDN</t>
        </is>
      </c>
      <c r="C19" s="23" t="inlineStr">
        <is>
          <t>II.5.1.1.5 - Thêm mới code phí dành cho KHDN</t>
        </is>
      </c>
      <c r="D19" s="23" t="inlineStr">
        <is>
          <t>Bản ghi chưa phê duyệt không hiển thị trên cây Danh mục SPDV</t>
        </is>
      </c>
      <c r="E19" s="23" t="inlineStr">
        <is>
          <t>Happy</t>
        </is>
      </c>
      <c r="F19" s="23" t="inlineStr">
        <is>
          <t>Smoke</t>
        </is>
      </c>
      <c r="G19" s="23" t="inlineStr">
        <is>
          <t>P1</t>
        </is>
      </c>
      <c r="H19" s="23" t="inlineStr">
        <is>
          <t>1. Vừa tạo code phí trạng thái Chờ duyệt.</t>
        </is>
      </c>
      <c r="I19" s="23" t="inlineStr">
        <is>
          <t>1. Mở cây Danh mục SPDV.
2. Tìm theo mã code phí vừa tạo.</t>
        </is>
      </c>
      <c r="J19" s="23" t="inlineStr">
        <is>
          <t>(i) Không thấy bản ghi trong cây.
(ii) Nhưng thấy tác vụ tại 'Tác vụ chờ duyệt'.</t>
        </is>
      </c>
      <c r="K19" s="23" t="inlineStr">
        <is>
          <t>II.5.1.1.5</t>
        </is>
      </c>
      <c r="L19" s="23" t="inlineStr">
        <is>
          <t>BR_11</t>
        </is>
      </c>
      <c r="M19" s="23" t="inlineStr">
        <is>
          <t>BR11-TREE-HIDE-PENDING</t>
        </is>
      </c>
      <c r="N19" s="23" t="n"/>
      <c r="O19" s="23" t="n"/>
      <c r="P19" s="23" t="n"/>
      <c r="Q19" s="23" t="n"/>
      <c r="R19" s="23" t="n"/>
      <c r="S19" s="23" t="n"/>
      <c r="T19" s="23" t="n"/>
      <c r="U19" s="23">
        <f>IF(R19&lt;&gt;"", R19, O19)</f>
        <v/>
      </c>
    </row>
    <row r="20" ht="80" customHeight="1" s="17">
      <c r="A20" s="23" t="inlineStr">
        <is>
          <t>FC-KHDN-BR12-CAL-018</t>
        </is>
      </c>
      <c r="B20" s="23" t="inlineStr">
        <is>
          <t>FEE-CODE-KHDN</t>
        </is>
      </c>
      <c r="C20" s="23" t="inlineStr">
        <is>
          <t>II.5.1.1.5 - Thêm mới code phí dành cho KHDN</t>
        </is>
      </c>
      <c r="D20" s="23" t="inlineStr">
        <is>
          <t>Quy đổi Số tiền tối thiểu/tối đa về Loại tiền của Code phí trước khi so sánh</t>
        </is>
      </c>
      <c r="E20" s="23" t="inlineStr">
        <is>
          <t>Calculation</t>
        </is>
      </c>
      <c r="F20" s="23" t="inlineStr">
        <is>
          <t>Regression</t>
        </is>
      </c>
      <c r="G20" s="23" t="inlineStr">
        <is>
          <t>P1</t>
        </is>
      </c>
      <c r="H20" s="23" t="inlineStr">
        <is>
          <t>1. Thiết lập loại tiền Code phí = VND Min/Max khai báo bằng USD có tỷ giá tại thời điểm giao dịch.</t>
        </is>
      </c>
      <c r="I20" s="23" t="inlineStr">
        <is>
          <t>1. Nhập mức phí và thiết lập Min/Max bằng loại tiền khác.
2. Lưu code.
3. Giả lập giao dịch tại thời điểm có tỷ giá.
4. Kiểm tra so sánh áp dụng.</t>
        </is>
      </c>
      <c r="J20" s="23" t="inlineStr">
        <is>
          <t>(i) Hệ thống quy đổi Min/Max sang VND theo tỷ giá thời điểm giao dịch (tuân phụ lục II.6.5).
(ii) So sánh sử dụng giá trị đã quy đổi.
(iii) Áp dụng mức phí đúng ngưỡng.</t>
        </is>
      </c>
      <c r="K20" s="23" t="inlineStr">
        <is>
          <t>II.5.1.1.5</t>
        </is>
      </c>
      <c r="L20" s="23" t="inlineStr">
        <is>
          <t>BR_12</t>
        </is>
      </c>
      <c r="M20" s="23" t="inlineStr">
        <is>
          <t>BR12-FOREX-COMPARE</t>
        </is>
      </c>
      <c r="N20" s="23" t="n"/>
      <c r="O20" s="23" t="n"/>
      <c r="P20" s="23" t="n"/>
      <c r="Q20" s="23" t="n"/>
      <c r="R20" s="23" t="n"/>
      <c r="S20" s="23" t="n"/>
      <c r="T20" s="23" t="n"/>
      <c r="U20" s="23">
        <f>IF(R20&lt;&gt;"", R20, O20)</f>
        <v/>
      </c>
    </row>
    <row r="21" ht="15.75" customHeight="1" s="17">
      <c r="A21" s="23" t="inlineStr">
        <is>
          <t>FC-KHDN-BR13-CAL-019</t>
        </is>
      </c>
      <c r="B21" s="23" t="inlineStr">
        <is>
          <t>FEE-CODE-KHDN</t>
        </is>
      </c>
      <c r="C21" s="23" t="inlineStr">
        <is>
          <t>II.5.1.1.5 - Thêm mới code phí dành cho KHDN</t>
        </is>
      </c>
      <c r="D21" s="23" t="inlineStr">
        <is>
          <t>Tính phí khi tích 'Đã bao gồm VAT'</t>
        </is>
      </c>
      <c r="E21" s="23" t="inlineStr">
        <is>
          <t>Calculation</t>
        </is>
      </c>
      <c r="F21" s="23" t="inlineStr">
        <is>
          <t>Smoke</t>
        </is>
      </c>
      <c r="G21" s="23" t="inlineStr">
        <is>
          <t>P1</t>
        </is>
      </c>
      <c r="H21" s="23" t="inlineStr">
        <is>
          <t>1. VAT% cấu hình = 10% mức phí khai báo 1,000 tích 'Đã bao gồm VAT'.</t>
        </is>
      </c>
      <c r="I21" s="23" t="inlineStr">
        <is>
          <t>1. Tạo code phí với mức phí 1,000, tích 'Đã bao gồm VAT'.
2. Thực hiện giao dịch áp dụng code.
3. Kiểm tra số phí thu.</t>
        </is>
      </c>
      <c r="J21" s="23" t="inlineStr">
        <is>
          <t>(i) Phí thu = 1,000 đúng bằng mức khai báo, không cộng VAT.
(ii) Nhật ký tính phí thể hiện cờ VAT_INCLUDED=true.</t>
        </is>
      </c>
      <c r="K21" s="23" t="inlineStr">
        <is>
          <t>II.5.1.1.5</t>
        </is>
      </c>
      <c r="L21" s="23" t="inlineStr">
        <is>
          <t>BR_13</t>
        </is>
      </c>
      <c r="M21" s="23" t="inlineStr">
        <is>
          <t>BR13-VAT-INCLUDED</t>
        </is>
      </c>
      <c r="N21" s="23" t="n"/>
      <c r="O21" s="23" t="n"/>
      <c r="P21" s="23" t="n"/>
      <c r="Q21" s="23" t="n"/>
      <c r="R21" s="23" t="n"/>
      <c r="S21" s="23" t="n"/>
      <c r="T21" s="23" t="n"/>
      <c r="U21" s="23">
        <f>IF(R21&lt;&gt;"", R21, O21)</f>
        <v/>
      </c>
    </row>
    <row r="22" ht="15.75" customHeight="1" s="17">
      <c r="A22" s="23" t="inlineStr">
        <is>
          <t>FC-KHDN-BR13-CAL-020</t>
        </is>
      </c>
      <c r="B22" s="23" t="inlineStr">
        <is>
          <t>FEE-CODE-KHDN</t>
        </is>
      </c>
      <c r="C22" s="23" t="inlineStr">
        <is>
          <t>II.5.1.1.5 - Thêm mới code phí dành cho KHDN</t>
        </is>
      </c>
      <c r="D22" s="23" t="inlineStr">
        <is>
          <t>Tính phí khi KHÔNG tích 'Đã bao gồm VAT'</t>
        </is>
      </c>
      <c r="E22" s="23" t="inlineStr">
        <is>
          <t>Calculation</t>
        </is>
      </c>
      <c r="F22" s="23" t="inlineStr">
        <is>
          <t>Smoke</t>
        </is>
      </c>
      <c r="G22" s="23" t="inlineStr">
        <is>
          <t>P1</t>
        </is>
      </c>
      <c r="H22" s="23" t="inlineStr">
        <is>
          <t>1. VAT% = 10% mức phí khai báo 1,000 không tích 'Đã bao gồm VAT'.</t>
        </is>
      </c>
      <c r="I22" s="23" t="inlineStr">
        <is>
          <t>1. Tạo code phí mức 1,000, không tích 'Đã bao gồm VAT'.
2. Thực hiện giao dịch.
3. Kiểm tra số phí thu.</t>
        </is>
      </c>
      <c r="J22" s="23" t="inlineStr">
        <is>
          <t>(i) Phí thu = 1,000 + 10%*1,000 = 1,100.
(ii) Nhật ký tính phí thể hiện VAT_INCLUDED=false và VAT_RATE áp dụng.</t>
        </is>
      </c>
      <c r="K22" s="23" t="inlineStr">
        <is>
          <t>II.5.1.1.5</t>
        </is>
      </c>
      <c r="L22" s="23" t="inlineStr">
        <is>
          <t>BR_13</t>
        </is>
      </c>
      <c r="M22" s="23" t="inlineStr">
        <is>
          <t>BR13-VAT-EXCLUDED</t>
        </is>
      </c>
      <c r="N22" s="23" t="n"/>
      <c r="O22" s="23" t="n"/>
      <c r="P22" s="23" t="n"/>
      <c r="Q22" s="23" t="n"/>
      <c r="R22" s="23" t="n"/>
      <c r="S22" s="23" t="n"/>
      <c r="T22" s="23" t="n"/>
      <c r="U22" s="23">
        <f>IF(R22&lt;&gt;"", R22, O22)</f>
        <v/>
      </c>
    </row>
    <row r="23" ht="15.75" customHeight="1" s="17">
      <c r="A23" s="23" t="inlineStr">
        <is>
          <t>FC-KHDN-BR14-HAP-021</t>
        </is>
      </c>
      <c r="B23" s="23" t="inlineStr">
        <is>
          <t>FEE-CODE-KHDN</t>
        </is>
      </c>
      <c r="C23" s="23" t="inlineStr">
        <is>
          <t>II.5.1.1.5 - Thêm mới code phí dành cho KHDN</t>
        </is>
      </c>
      <c r="D23" s="23" t="inlineStr">
        <is>
          <t>Sau khi lưu, trạng thái = Chờ duyệt và sinh tác vụ tại 'Tác vụ chờ duyệt'</t>
        </is>
      </c>
      <c r="E23" s="23" t="inlineStr">
        <is>
          <t>Integration</t>
        </is>
      </c>
      <c r="F23" s="23" t="inlineStr">
        <is>
          <t>Smoke</t>
        </is>
      </c>
      <c r="G23" s="23" t="inlineStr">
        <is>
          <t>P1</t>
        </is>
      </c>
      <c r="H23" s="23" t="inlineStr">
        <is>
          <t>1. Maker tạo mới thành công.</t>
        </is>
      </c>
      <c r="I23" s="23" t="inlineStr">
        <is>
          <t>1. Sau khi lưu, mở màn hình 'Tác vụ chờ duyệt'.
2. Tìm tác vụ OT.01 tương ứng.</t>
        </is>
      </c>
      <c r="J23" s="23" t="inlineStr">
        <is>
          <t>(i) Bản ghi có trạng thái 'Chờ duyệt'.
(ii) Tác vụ OT.01 hiển thị với đủ thông tin.
(iii) Không tạo version record mới (theo Versioning C).</t>
        </is>
      </c>
      <c r="K23" s="23" t="inlineStr">
        <is>
          <t>II.5.1.1.5</t>
        </is>
      </c>
      <c r="L23" s="23" t="inlineStr">
        <is>
          <t>BR_14</t>
        </is>
      </c>
      <c r="M23" s="23" t="inlineStr">
        <is>
          <t>BR14-PENDING-TASK</t>
        </is>
      </c>
      <c r="N23" s="23" t="n"/>
      <c r="O23" s="23" t="n"/>
      <c r="P23" s="23" t="n"/>
      <c r="Q23" s="23" t="n"/>
      <c r="R23" s="23" t="n"/>
      <c r="S23" s="23" t="n"/>
      <c r="T23" s="23" t="n"/>
      <c r="U23" s="23">
        <f>IF(R23&lt;&gt;"", R23, O23)</f>
        <v/>
      </c>
    </row>
    <row r="24" ht="15.75" customHeight="1" s="17">
      <c r="A24" s="23" t="inlineStr">
        <is>
          <t>FC-KHDN-BR15-HAP-022</t>
        </is>
      </c>
      <c r="B24" s="23" t="inlineStr">
        <is>
          <t>FEE-CODE-KHDN</t>
        </is>
      </c>
      <c r="C24" s="23" t="inlineStr">
        <is>
          <t>II.5.1.1.5 - Thêm mới code phí dành cho KHDN</t>
        </is>
      </c>
      <c r="D24" s="23" t="inlineStr">
        <is>
          <t>Trường 'Ngày tạo' hệ thống tự sinh đúng định dạng thời gian thực</t>
        </is>
      </c>
      <c r="E24" s="23" t="inlineStr">
        <is>
          <t>Happy</t>
        </is>
      </c>
      <c r="F24" s="23" t="inlineStr">
        <is>
          <t>Regression</t>
        </is>
      </c>
      <c r="G24" s="23" t="inlineStr">
        <is>
          <t>P2</t>
        </is>
      </c>
      <c r="H24" s="23" t="inlineStr">
        <is>
          <t>1. Sau khi tạo bản ghi.</t>
        </is>
      </c>
      <c r="I24" s="23" t="inlineStr">
        <is>
          <t>1. Mở chi tiết bản ghi vừa tạo.
2. Kiểm tra 'Ngày tạo'.</t>
        </is>
      </c>
      <c r="J24" s="23" t="inlineStr">
        <is>
          <t>(i) Giá trị theo định dạng YYYY-MM-DD HH:MM:SS và trong khoảng thời gian hệ thống tại thời điểm tạo.
(ii) Không cho phép chỉnh sửa.</t>
        </is>
      </c>
      <c r="K24" s="23" t="inlineStr">
        <is>
          <t>II.5.1.1.5</t>
        </is>
      </c>
      <c r="L24" s="23" t="inlineStr">
        <is>
          <t>BR_15</t>
        </is>
      </c>
      <c r="M24" s="23" t="inlineStr">
        <is>
          <t>BR15-CREATED-AT</t>
        </is>
      </c>
      <c r="N24" s="23" t="n"/>
      <c r="O24" s="23" t="n"/>
      <c r="P24" s="23" t="n"/>
      <c r="Q24" s="23" t="n"/>
      <c r="R24" s="23" t="n"/>
      <c r="S24" s="23" t="n"/>
      <c r="T24" s="23" t="n"/>
      <c r="U24" s="23">
        <f>IF(R24&lt;&gt;"", R24, O24)</f>
        <v/>
      </c>
    </row>
    <row r="25" ht="15.75" customHeight="1" s="17">
      <c r="A25" s="23" t="inlineStr">
        <is>
          <t>FC-KHDN-BR16-HAP-023</t>
        </is>
      </c>
      <c r="B25" s="23" t="inlineStr">
        <is>
          <t>FEE-CODE-KHDN</t>
        </is>
      </c>
      <c r="C25" s="23" t="inlineStr">
        <is>
          <t>II.5.1.1.5 - Thêm mới code phí dành cho KHDN</t>
        </is>
      </c>
      <c r="D25" s="23" t="inlineStr">
        <is>
          <t>Trường 'Người tạo' hiển thị username Maker khởi tạo</t>
        </is>
      </c>
      <c r="E25" s="23" t="inlineStr">
        <is>
          <t>Happy</t>
        </is>
      </c>
      <c r="F25" s="23" t="inlineStr">
        <is>
          <t>Regression</t>
        </is>
      </c>
      <c r="G25" s="23" t="inlineStr">
        <is>
          <t>P2</t>
        </is>
      </c>
      <c r="H25" s="23" t="inlineStr">
        <is>
          <t>1. Maker A tạo, đăng xuất Maker B kiểm tra.</t>
        </is>
      </c>
      <c r="I25" s="23" t="inlineStr">
        <is>
          <t>1. Maker A tạo bản ghi.
2. Maker B mở chi tiết bản ghi.
3. Kiểm tra 'Người tạo'.</t>
        </is>
      </c>
      <c r="J25" s="23" t="inlineStr">
        <is>
          <t>(i) 'Người tạo' = username của Maker A.
(ii) Trường read-only.</t>
        </is>
      </c>
      <c r="K25" s="23" t="inlineStr">
        <is>
          <t>II.5.1.1.5</t>
        </is>
      </c>
      <c r="L25" s="23" t="inlineStr">
        <is>
          <t>BR_16</t>
        </is>
      </c>
      <c r="M25" s="23" t="inlineStr">
        <is>
          <t>BR16-CREATOR-FIELD</t>
        </is>
      </c>
      <c r="N25" s="23" t="n"/>
      <c r="O25" s="23" t="n"/>
      <c r="P25" s="23" t="n"/>
      <c r="Q25" s="23" t="n"/>
      <c r="R25" s="23" t="n"/>
      <c r="S25" s="23" t="n"/>
      <c r="T25" s="23" t="n"/>
      <c r="U25" s="23">
        <f>IF(R25&lt;&gt;"", R25, O25)</f>
        <v/>
      </c>
    </row>
    <row r="26" ht="15.75" customHeight="1" s="17">
      <c r="A26" s="23" t="inlineStr">
        <is>
          <t>FC-KHDN-BR17-NEG-024</t>
        </is>
      </c>
      <c r="B26" s="23" t="inlineStr">
        <is>
          <t>FEE-CODE-KHDN</t>
        </is>
      </c>
      <c r="C26" s="23" t="inlineStr">
        <is>
          <t>II.5.1.1.5 - Thêm mới code phí dành cho KHDN</t>
        </is>
      </c>
      <c r="D26" s="23" t="inlineStr">
        <is>
          <t>Không cho phép nhập số tiền phí âm</t>
        </is>
      </c>
      <c r="E26" s="23" t="inlineStr">
        <is>
          <t>Negative</t>
        </is>
      </c>
      <c r="F26" s="23" t="inlineStr">
        <is>
          <t>Smoke</t>
        </is>
      </c>
      <c r="G26" s="23" t="inlineStr">
        <is>
          <t>P1</t>
        </is>
      </c>
      <c r="H26" s="23" t="inlineStr">
        <is>
          <t>1. Form mở.</t>
        </is>
      </c>
      <c r="I26" s="23" t="inlineStr">
        <is>
          <t>1. Nhập mức phí = -1.
2. 'Xác nhận'.</t>
        </is>
      </c>
      <c r="J26" s="23" t="inlineStr">
        <is>
          <t>(i) Từ chối lưu với thông báo 'Số tiền phí phải &gt;= 0'.</t>
        </is>
      </c>
      <c r="K26" s="23" t="inlineStr">
        <is>
          <t>II.5.1.1.5</t>
        </is>
      </c>
      <c r="L26" s="23" t="inlineStr">
        <is>
          <t>BR_17</t>
        </is>
      </c>
      <c r="M26" s="23" t="inlineStr">
        <is>
          <t>BR17-AMOUNT-NONNEG</t>
        </is>
      </c>
      <c r="N26" s="23" t="n"/>
      <c r="O26" s="23" t="n"/>
      <c r="P26" s="23" t="n"/>
      <c r="Q26" s="23" t="n"/>
      <c r="R26" s="23" t="n"/>
      <c r="S26" s="23" t="n"/>
      <c r="T26" s="23" t="n"/>
      <c r="U26" s="23">
        <f>IF(R26&lt;&gt;"", R26, O26)</f>
        <v/>
      </c>
    </row>
    <row r="27" ht="15.75" customHeight="1" s="17">
      <c r="A27" s="23" t="inlineStr">
        <is>
          <t>FC-KHDN-BR17-HAP-025</t>
        </is>
      </c>
      <c r="B27" s="23" t="inlineStr">
        <is>
          <t>FEE-CODE-KHDN</t>
        </is>
      </c>
      <c r="C27" s="23" t="inlineStr">
        <is>
          <t>II.5.1.1.5 - Thêm mới code phí dành cho KHDN</t>
        </is>
      </c>
      <c r="D27" s="23" t="inlineStr">
        <is>
          <t>Cho phép mức phí = 0 (miễn phí)</t>
        </is>
      </c>
      <c r="E27" s="23" t="inlineStr">
        <is>
          <t>Boundary</t>
        </is>
      </c>
      <c r="F27" s="23" t="inlineStr">
        <is>
          <t>Regression</t>
        </is>
      </c>
      <c r="G27" s="23" t="inlineStr">
        <is>
          <t>P2</t>
        </is>
      </c>
      <c r="H27" s="23" t="inlineStr">
        <is>
          <t>1. Form mở.</t>
        </is>
      </c>
      <c r="I27" s="23" t="inlineStr">
        <is>
          <t>1. Nhập mức phí =
0.
2. 'Xác nhận'.
3. Thực hiện giao dịch áp dụng code.</t>
        </is>
      </c>
      <c r="J27" s="23" t="inlineStr">
        <is>
          <t>(i) Lưu thành công với mức phí=0.
(ii) Giao dịch được tính phí 0 theo biểu phí hiện hành; nhật ký ghi nhận miễn phí.</t>
        </is>
      </c>
      <c r="K27" s="23" t="inlineStr">
        <is>
          <t>II.5.1.1.5</t>
        </is>
      </c>
      <c r="L27" s="23" t="inlineStr">
        <is>
          <t>BR_17</t>
        </is>
      </c>
      <c r="M27" s="23" t="inlineStr">
        <is>
          <t>BR17-FREE-ZERO</t>
        </is>
      </c>
      <c r="N27" s="23" t="n"/>
      <c r="O27" s="23" t="n"/>
      <c r="P27" s="23" t="n"/>
      <c r="Q27" s="23" t="n"/>
      <c r="R27" s="23" t="n"/>
      <c r="S27" s="23" t="n"/>
      <c r="T27" s="23" t="n"/>
      <c r="U27" s="23">
        <f>IF(R27&lt;&gt;"", R27, O27)</f>
        <v/>
      </c>
    </row>
    <row r="28" ht="15.75" customHeight="1" s="17">
      <c r="A28" s="23" t="inlineStr">
        <is>
          <t>FC-KHDN-UI-01-OPEN-026</t>
        </is>
      </c>
      <c r="B28" s="23" t="inlineStr">
        <is>
          <t>FEE-CODE-KHDN</t>
        </is>
      </c>
      <c r="C28" s="23" t="inlineStr">
        <is>
          <t>II.5.1.1.5 - Thêm mới code phí dành cho KHDN</t>
        </is>
      </c>
      <c r="D28" s="23" t="inlineStr">
        <is>
          <t>Nút 'Thêm code phí' hiển thị và mở đúng form chi tiết</t>
        </is>
      </c>
      <c r="E28" s="23" t="inlineStr">
        <is>
          <t>Happy</t>
        </is>
      </c>
      <c r="F28" s="23" t="inlineStr">
        <is>
          <t>Smoke</t>
        </is>
      </c>
      <c r="G28" s="23" t="inlineStr">
        <is>
          <t>P1</t>
        </is>
      </c>
      <c r="H28" s="23" t="inlineStr">
        <is>
          <t>1. Đang ở màn hình chi tiết SPDV cấp cuối đã duyệt.</t>
        </is>
      </c>
      <c r="I28" s="23" t="inlineStr">
        <is>
          <t>1. Quan sát khu vực thao tác trên bản ghi SPDV cấp cuối.
2. Bấm 'Thêm code phí'.</t>
        </is>
      </c>
      <c r="J28" s="23" t="inlineStr">
        <is>
          <t>(i) Form chi tiết 'Code phí' mở ở modal/route mới.
(ii) Tiêu đề, breadcrumb đúng ngữ cảnh sản phẩm dịch vụ.
(iii) Focus đặt vào trường đầu tiên theo thiết kế.</t>
        </is>
      </c>
      <c r="K28" s="23" t="inlineStr">
        <is>
          <t>II.5.1.1.5</t>
        </is>
      </c>
      <c r="L28" s="23" t="inlineStr">
        <is>
          <t>UI-FUNC.01</t>
        </is>
      </c>
      <c r="M28" s="23" t="inlineStr">
        <is>
          <t>UI-OPEN-FORM</t>
        </is>
      </c>
      <c r="N28" s="23" t="n"/>
      <c r="O28" s="23" t="n"/>
      <c r="P28" s="23" t="n"/>
      <c r="Q28" s="23" t="n"/>
      <c r="R28" s="23" t="n"/>
      <c r="S28" s="23" t="n"/>
      <c r="T28" s="23" t="n"/>
      <c r="U28" s="23">
        <f>IF(R28&lt;&gt;"", R28, O28)</f>
        <v/>
      </c>
    </row>
    <row r="29" ht="15.75" customHeight="1" s="17">
      <c r="A29" s="23" t="inlineStr">
        <is>
          <t>FC-KHDN-UI-02-NAV-027</t>
        </is>
      </c>
      <c r="B29" s="23" t="inlineStr">
        <is>
          <t>FEE-CODE-KHDN</t>
        </is>
      </c>
      <c r="C29" s="23" t="inlineStr">
        <is>
          <t>II.5.1.1.5 - Thêm mới code phí dành cho KHDN</t>
        </is>
      </c>
      <c r="D29" s="23" t="inlineStr">
        <is>
          <t>Điều hướng giữa các phân vùng trên form</t>
        </is>
      </c>
      <c r="E29" s="23" t="inlineStr">
        <is>
          <t>Happy</t>
        </is>
      </c>
      <c r="F29" s="23" t="inlineStr">
        <is>
          <t>Regression</t>
        </is>
      </c>
      <c r="G29" s="23" t="inlineStr">
        <is>
          <t>P2</t>
        </is>
      </c>
      <c r="H29" s="23" t="inlineStr">
        <is>
          <t>1. Form đã mở.</t>
        </is>
      </c>
      <c r="I29" s="23" t="inlineStr">
        <is>
          <t>1. Chọn tab 'Thông tin chung'.
2. Chuyển sang 'Điều kiện tính phí'.
3. Chuyển sang 'Quy tắc tính phí'.
4. Quay lại tab trước bằng phím tắt/alt+arrow nếu hỗ trợ.</t>
        </is>
      </c>
      <c r="J29" s="23" t="inlineStr">
        <is>
          <t>(i) UI chuyển tab mượt, giữ vị trí cuộn.
(ii) Không mất dữ liệu đã nhập ở các tab khi chưa lưu (client cache).</t>
        </is>
      </c>
      <c r="K29" s="23" t="inlineStr">
        <is>
          <t>II.5.1.1.5</t>
        </is>
      </c>
      <c r="L29" s="23" t="inlineStr">
        <is>
          <t>UI-FUNC.02</t>
        </is>
      </c>
      <c r="M29" s="23" t="inlineStr">
        <is>
          <t>UI-TAB-NAV</t>
        </is>
      </c>
      <c r="N29" s="23" t="n"/>
      <c r="O29" s="23" t="n"/>
      <c r="P29" s="23" t="n"/>
      <c r="Q29" s="23" t="n"/>
      <c r="R29" s="23" t="n"/>
      <c r="S29" s="23" t="n"/>
      <c r="T29" s="23" t="n"/>
      <c r="U29" s="23">
        <f>IF(R29&lt;&gt;"", R29, O29)</f>
        <v/>
      </c>
    </row>
    <row r="30" ht="15.75" customHeight="1" s="17">
      <c r="A30" s="23" t="inlineStr">
        <is>
          <t>FC-KHDN-UI-03-BTN-028</t>
        </is>
      </c>
      <c r="B30" s="23" t="inlineStr">
        <is>
          <t>FEE-CODE-KHDN</t>
        </is>
      </c>
      <c r="C30" s="23" t="inlineStr">
        <is>
          <t>II.5.1.1.5 - Thêm mới code phí dành cho KHDN</t>
        </is>
      </c>
      <c r="D30" s="23" t="inlineStr">
        <is>
          <t>Trạng thái nút 'Xác nhận'/'Đóng' và phím tắt</t>
        </is>
      </c>
      <c r="E30" s="23" t="inlineStr">
        <is>
          <t>Boundary</t>
        </is>
      </c>
      <c r="F30" s="23" t="inlineStr">
        <is>
          <t>Regression</t>
        </is>
      </c>
      <c r="G30" s="23" t="inlineStr">
        <is>
          <t>P2</t>
        </is>
      </c>
      <c r="H30" s="23" t="inlineStr">
        <is>
          <t>1. Form mở, chưa tương tác.</t>
        </is>
      </c>
      <c r="I30" s="23" t="inlineStr">
        <is>
          <t>1. Quan sát trạng thái mặc định của nút 'Xác nhận' (enabled/disabled theo thiết kế).
2. Nhấn phím tắt Submit (Ctrl+Enter) nếu hỗ trợ.
3. Nhấn 'Đóng' hoặc phím tắt Esc.</t>
        </is>
      </c>
      <c r="J30" s="23" t="inlineStr">
        <is>
          <t>(i) Nút hiển thị đúng trạng thái; phím tắt hoạt động.
(ii) 'Đóng' chỉ đóng form, không lưu (validation BR_02 đã được cover, không kiểm lại logic lưu).</t>
        </is>
      </c>
      <c r="K30" s="23" t="inlineStr">
        <is>
          <t>II.5.1.1.5</t>
        </is>
      </c>
      <c r="L30" s="23" t="inlineStr">
        <is>
          <t>UI-FUNC.03</t>
        </is>
      </c>
      <c r="M30" s="23" t="inlineStr">
        <is>
          <t>UI-BUTTON-STATE</t>
        </is>
      </c>
      <c r="N30" s="23" t="n"/>
      <c r="O30" s="23" t="n"/>
      <c r="P30" s="23" t="n"/>
      <c r="Q30" s="23" t="n"/>
      <c r="R30" s="23" t="n"/>
      <c r="S30" s="23" t="n"/>
      <c r="T30" s="23" t="n"/>
      <c r="U30" s="23">
        <f>IF(R30&lt;&gt;"", R30, O30)</f>
        <v/>
      </c>
    </row>
    <row r="31" ht="15.75" customHeight="1" s="17">
      <c r="A31" s="23" t="inlineStr">
        <is>
          <t>FC-KHDN-UI-04-INBOX-029</t>
        </is>
      </c>
      <c r="B31" s="23" t="inlineStr">
        <is>
          <t>FEE-CODE-KHDN</t>
        </is>
      </c>
      <c r="C31" s="23" t="inlineStr">
        <is>
          <t>II.5.1.1.5 - Thêm mới code phí dành cho KHDN</t>
        </is>
      </c>
      <c r="D31" s="23" t="inlineStr">
        <is>
          <t>Sau lưu thành công, mục mới xuất hiện trong 'Tác vụ chờ duyệt' (kiểm hiển thị)</t>
        </is>
      </c>
      <c r="E31" s="23" t="inlineStr">
        <is>
          <t>Happy</t>
        </is>
      </c>
      <c r="F31" s="23" t="inlineStr">
        <is>
          <t>Smoke</t>
        </is>
      </c>
      <c r="G31" s="23" t="inlineStr">
        <is>
          <t>P1</t>
        </is>
      </c>
      <c r="H31" s="23" t="inlineStr">
        <is>
          <t>1. Đã thực hiện một thao tác lưu thành công từ testcase BR14-HAP-021.</t>
        </is>
      </c>
      <c r="I31" s="23" t="inlineStr">
        <is>
          <t>1. Mở màn hình 'Tác vụ chờ duyệt'.
2. Tìm theo mã code phí/ID tác vụ.
3. Kiểm tra cột/thuộc tính hiển thị.</t>
        </is>
      </c>
      <c r="J31" s="23" t="inlineStr">
        <is>
          <t>(i) Bản ghi xuất hiện với đúng cột: mã, thời gian, người tạo.
(ii) Có thể mở chi tiết từ danh sách.
(Trạng thái nghiệp vụ đã cover ở BR_14).</t>
        </is>
      </c>
      <c r="K31" s="23" t="inlineStr">
        <is>
          <t>II.5.1.1.5</t>
        </is>
      </c>
      <c r="L31" s="23" t="inlineStr">
        <is>
          <t>UI-FUNC.04</t>
        </is>
      </c>
      <c r="M31" s="23" t="inlineStr">
        <is>
          <t>UI-TASK-INBOX</t>
        </is>
      </c>
      <c r="N31" s="23" t="inlineStr">
        <is>
          <t>ĐÃ COVER phần trạng thái ở FC-KHDN-BR14-HAP-021</t>
        </is>
      </c>
      <c r="O31" s="23" t="n"/>
      <c r="P31" s="23" t="n"/>
      <c r="Q31" s="23" t="n"/>
      <c r="R31" s="23" t="n"/>
      <c r="S31" s="23" t="n"/>
      <c r="T31" s="23" t="n"/>
      <c r="U31" s="23">
        <f>IF(R31&lt;&gt;"", R31, O31)</f>
        <v/>
      </c>
    </row>
    <row r="32" ht="15.75" customHeight="1" s="17">
      <c r="A32" s="23" t="inlineStr">
        <is>
          <t>FC-KHDN-UI-05-KEEP-030</t>
        </is>
      </c>
      <c r="B32" s="23" t="inlineStr">
        <is>
          <t>FEE-CODE-KHDN</t>
        </is>
      </c>
      <c r="C32" s="23" t="inlineStr">
        <is>
          <t>II.5.1.1.5 - Thêm mới code phí dành cho KHDN</t>
        </is>
      </c>
      <c r="D32" s="23" t="inlineStr">
        <is>
          <t>Hành vi khi Refresh/Back: dữ liệu tạm thời</t>
        </is>
      </c>
      <c r="E32" s="23" t="inlineStr">
        <is>
          <t>Boundary</t>
        </is>
      </c>
      <c r="F32" s="23" t="inlineStr">
        <is>
          <t>Regression</t>
        </is>
      </c>
      <c r="G32" s="23" t="inlineStr">
        <is>
          <t>P3</t>
        </is>
      </c>
      <c r="H32" s="23" t="inlineStr">
        <is>
          <t>1. Đã nhập một số dữ liệu chưa lưu.</t>
        </is>
      </c>
      <c r="I32" s="23" t="inlineStr">
        <is>
          <t>1. Nhập dữ liệu ở 3 phân vùng.
2a. Nhấn Refresh trình duyệt.
2b. Nhấn Back rồi Forward quay lại form.
3. Quan sát dữ liệu.</t>
        </is>
      </c>
      <c r="J32" s="23" t="inlineStr">
        <is>
          <t>(i) Ứng xử theo thiết kế: giữ hoặc mất dữ liệu tạm (thông báo cảnh báo nếu có).
(ii) Không tự động lưu.
(Logic không lưu đã cover ở BR_02).</t>
        </is>
      </c>
      <c r="K32" s="23" t="inlineStr">
        <is>
          <t>II.5.1.1.5</t>
        </is>
      </c>
      <c r="L32" s="23" t="inlineStr">
        <is>
          <t>UI-FUNC.05</t>
        </is>
      </c>
      <c r="M32" s="23" t="inlineStr">
        <is>
          <t>UI-REFRESH-BACK</t>
        </is>
      </c>
      <c r="N32" s="23" t="n"/>
      <c r="O32" s="23" t="n"/>
      <c r="P32" s="23" t="n"/>
      <c r="Q32" s="23" t="n"/>
      <c r="R32" s="23" t="n"/>
      <c r="S32" s="23" t="n"/>
      <c r="T32" s="23" t="n"/>
      <c r="U32" s="23">
        <f>IF(R32&lt;&gt;"", R32, O32)</f>
        <v/>
      </c>
    </row>
    <row r="33" ht="15.75" customHeight="1" s="17">
      <c r="A33" s="23" t="inlineStr">
        <is>
          <t>FC-KHDN-UI-06-SEARCHDDL-031</t>
        </is>
      </c>
      <c r="B33" s="23" t="inlineStr">
        <is>
          <t>FEE-CODE-KHDN</t>
        </is>
      </c>
      <c r="C33" s="23" t="inlineStr">
        <is>
          <t>II.5.1.1.5 - Thêm mới code phí dành cho KHDN</t>
        </is>
      </c>
      <c r="D33" s="23" t="inlineStr">
        <is>
          <t>Tìm kiếm trong dropdown Công thức tính phí (UI only)</t>
        </is>
      </c>
      <c r="E33" s="23" t="inlineStr">
        <is>
          <t>Happy</t>
        </is>
      </c>
      <c r="F33" s="23" t="inlineStr">
        <is>
          <t>Regression</t>
        </is>
      </c>
      <c r="G33" s="23" t="inlineStr">
        <is>
          <t>P3</t>
        </is>
      </c>
      <c r="H33" s="23" t="inlineStr">
        <is>
          <t>1. Dropdown có &gt;20 mục để thử tìm kiếm.</t>
        </is>
      </c>
      <c r="I33" s="23" t="inlineStr">
        <is>
          <t>1. Mở dropdown Công thức tính phí.
2. Gõ từ khóa/mã.
3. Xóa từ khóa và cuộn danh sách.</t>
        </is>
      </c>
      <c r="J33" s="23" t="inlineStr">
        <is>
          <t>(i) Filter theo text hoạt động client-side.
(ii) Xóa từ khóa trả lại danh sách đầy đủ.
(Không kiểm trạng thái phê duyệt).</t>
        </is>
      </c>
      <c r="K33" s="23" t="inlineStr">
        <is>
          <t>II.5.1.1.5</t>
        </is>
      </c>
      <c r="L33" s="23" t="inlineStr">
        <is>
          <t>UI-FUNC.06</t>
        </is>
      </c>
      <c r="M33" s="23" t="inlineStr">
        <is>
          <t>UI-DROPDOWN-SEARCH</t>
        </is>
      </c>
      <c r="N33" s="23" t="n"/>
      <c r="O33" s="23" t="n"/>
      <c r="P33" s="23" t="n"/>
      <c r="Q33" s="23" t="n"/>
      <c r="R33" s="23" t="n"/>
      <c r="S33" s="23" t="n"/>
      <c r="T33" s="23" t="n"/>
      <c r="U33" s="23">
        <f>IF(R33&lt;&gt;"", R33, O33)</f>
        <v/>
      </c>
    </row>
    <row r="34" ht="15.75" customHeight="1" s="17">
      <c r="A34" s="23" t="inlineStr">
        <is>
          <t>FC-KHDN-UI-07-PAGING-032</t>
        </is>
      </c>
      <c r="B34" s="23" t="inlineStr">
        <is>
          <t>FEE-CODE-KHDN</t>
        </is>
      </c>
      <c r="C34" s="23" t="inlineStr">
        <is>
          <t>II.5.1.1.5 - Thêm mới code phí dành cho KHDN</t>
        </is>
      </c>
      <c r="D34" s="23" t="inlineStr">
        <is>
          <t>Phân trang/scroll ảo danh sách Công thức tính phí</t>
        </is>
      </c>
      <c r="E34" s="23" t="inlineStr">
        <is>
          <t>Boundary</t>
        </is>
      </c>
      <c r="F34" s="23" t="inlineStr">
        <is>
          <t>Regression</t>
        </is>
      </c>
      <c r="G34" s="23" t="inlineStr">
        <is>
          <t>P3</t>
        </is>
      </c>
      <c r="H34" s="23" t="inlineStr">
        <is>
          <t>1. Có &gt;100 công thức để kiểm tra phân trang/virtual scroll.</t>
        </is>
      </c>
      <c r="I34" s="23" t="inlineStr">
        <is>
          <t>1. Mở dropdown.
2. Cuộn tới cuối danh sách nhiều lần.
3. Quan sát tải thêm/paging indicator.</t>
        </is>
      </c>
      <c r="J34" s="23" t="inlineStr">
        <is>
          <t>(i) Danh sách nạp thêm đúng, không trùng/nhảy.
(ii) Không bị kẹt cuộn; hiệu năng ổn định.</t>
        </is>
      </c>
      <c r="K34" s="23" t="inlineStr">
        <is>
          <t>II.5.1.1.5</t>
        </is>
      </c>
      <c r="L34" s="23" t="inlineStr">
        <is>
          <t>UI-FUNC.07</t>
        </is>
      </c>
      <c r="M34" s="23" t="inlineStr">
        <is>
          <t>UI-DROPDOWN-PAGING</t>
        </is>
      </c>
      <c r="N34" s="23" t="n"/>
      <c r="O34" s="23" t="n"/>
      <c r="P34" s="23" t="n"/>
      <c r="Q34" s="23" t="n"/>
      <c r="R34" s="23" t="n"/>
      <c r="S34" s="23" t="n"/>
      <c r="T34" s="23" t="n"/>
      <c r="U34" s="23">
        <f>IF(R34&lt;&gt;"", R34, O34)</f>
        <v/>
      </c>
    </row>
    <row r="35" ht="15.75" customHeight="1" s="17">
      <c r="A35" s="23" t="inlineStr">
        <is>
          <t>FC-KHDN-FLOW-HAP-033</t>
        </is>
      </c>
      <c r="B35" s="23" t="inlineStr">
        <is>
          <t>FEE-CODE-KHDN</t>
        </is>
      </c>
      <c r="C35" s="23" t="inlineStr">
        <is>
          <t>II.5.1.1.5 - Thêm mới code phí dành cho KHDN</t>
        </is>
      </c>
      <c r="D35" s="23" t="inlineStr">
        <is>
          <t>Happy path: Tạo mới code phí KHDN đầy đủ và sinh tác vụ OT.01</t>
        </is>
      </c>
      <c r="E35" s="23" t="inlineStr">
        <is>
          <t>Happy</t>
        </is>
      </c>
      <c r="F35" s="23" t="inlineStr">
        <is>
          <t>Smoke</t>
        </is>
      </c>
      <c r="G35" s="23" t="inlineStr">
        <is>
          <t>P1</t>
        </is>
      </c>
      <c r="H35" s="23" t="inlineStr">
        <is>
          <t>1. Maker đăng nhập tồn tại SPDV cấp cuối có ít nhất 1 công thức đã phê duyệt T=2026-03-16.</t>
        </is>
      </c>
      <c r="I35" s="23" t="inlineStr">
        <is>
          <t>1. Từ SPDV cấp cuối, bấm 'Thêm code phí'.
2. Nhập Thông tin chung, Loại khách hàng=KHTC/DNSN, Loại tính phí bất kỳ.
3. Nhập Điều kiện tính phí theo loại đã chọn.
4. Chọn 1 Công thức tính phí và nhập mức phí.
5. Chọn 'Xác nhận'.</t>
        </is>
      </c>
      <c r="J35" s="23" t="inlineStr">
        <is>
          <t>(i) Lưu thành công; trạng thái 'Chờ duyệt'.
(ii) Tác vụ OT.01 xuất hiện ở 'Tác vụ chờ duyệt'.
(iii) 'Ngày tạo' và 'Người tạo' được hệ thống sinh đúng.</t>
        </is>
      </c>
      <c r="K35" s="23" t="inlineStr">
        <is>
          <t>II.5.1.1.5</t>
        </is>
      </c>
      <c r="L35" s="23" t="inlineStr">
        <is>
          <t>BR_01,BR_04,BR_05,BR_14,BR_15,BR_16</t>
        </is>
      </c>
      <c r="M35" s="23" t="inlineStr">
        <is>
          <t>FLOW-HAPPY</t>
        </is>
      </c>
      <c r="N35" s="23" t="n"/>
      <c r="O35" s="23" t="n"/>
      <c r="P35" s="23" t="n"/>
      <c r="Q35" s="23" t="n"/>
      <c r="R35" s="23" t="n"/>
      <c r="S35" s="23" t="n"/>
      <c r="T35" s="23" t="n"/>
      <c r="U35" s="23">
        <f>IF(R35&lt;&gt;"", R35, O35)</f>
        <v/>
      </c>
    </row>
    <row r="36" ht="15.75" customHeight="1" s="17">
      <c r="A36" s="23" t="inlineStr">
        <is>
          <t>FC-KHDN-FLOW-NEG-034</t>
        </is>
      </c>
      <c r="B36" s="23" t="inlineStr">
        <is>
          <t>FEE-CODE-KHDN</t>
        </is>
      </c>
      <c r="C36" s="23" t="inlineStr">
        <is>
          <t>II.5.1.1.5 - Thêm mới code phí dành cho KHDN</t>
        </is>
      </c>
      <c r="D36" s="23" t="inlineStr">
        <is>
          <t>Negative path: Bỏ dở quy trình bằng 'Đóng' giữa chừng</t>
        </is>
      </c>
      <c r="E36" s="23" t="inlineStr">
        <is>
          <t>Negative</t>
        </is>
      </c>
      <c r="F36" s="23" t="inlineStr">
        <is>
          <t>Regression</t>
        </is>
      </c>
      <c r="G36" s="23" t="inlineStr">
        <is>
          <t>P2</t>
        </is>
      </c>
      <c r="H36" s="23" t="inlineStr">
        <is>
          <t>1. Maker vào form và nhập một phần dữ liệu.</t>
        </is>
      </c>
      <c r="I36" s="23" t="inlineStr">
        <is>
          <t>1. Đang nhập dở, nhấn 'Đóng'.
2. Xác nhận thoát.
3. Kiểm tra toàn hệ thống.</t>
        </is>
      </c>
      <c r="J36" s="23" t="inlineStr">
        <is>
          <t>(i) Không có bản ghi Code phí mới ở bất kỳ danh sách nào.
(ii) Không có tác vụ OT.01.
(iii) Audit lưu hành động đóng.</t>
        </is>
      </c>
      <c r="K36" s="23" t="inlineStr">
        <is>
          <t>II.5.1.1.5</t>
        </is>
      </c>
      <c r="L36" s="23" t="inlineStr">
        <is>
          <t>BR_02</t>
        </is>
      </c>
      <c r="M36" s="23" t="inlineStr">
        <is>
          <t>FLOW-CANCEL</t>
        </is>
      </c>
      <c r="N36" s="23" t="n"/>
      <c r="O36" s="23" t="n"/>
      <c r="P36" s="23" t="n"/>
      <c r="Q36" s="23" t="n"/>
      <c r="R36" s="23" t="n"/>
      <c r="S36" s="23" t="n"/>
      <c r="T36" s="23" t="n"/>
      <c r="U36" s="23">
        <f>IF(R36&lt;&gt;"", R36, O36)</f>
        <v/>
      </c>
    </row>
    <row r="37" ht="15.75" customHeight="1" s="17">
      <c r="A37" s="23" t="inlineStr">
        <is>
          <t>FC-KHDN-FLOW-BND-035</t>
        </is>
      </c>
      <c r="B37" s="23" t="inlineStr">
        <is>
          <t>FEE-CODE-KHDN</t>
        </is>
      </c>
      <c r="C37" s="23" t="inlineStr">
        <is>
          <t>II.5.1.1.5 - Thêm mới code phí dành cho KHDN</t>
        </is>
      </c>
      <c r="D37" s="23" t="inlineStr">
        <is>
          <t>Boundary path: Kiểm thử mã code sát ngưỡng thứ tự 999</t>
        </is>
      </c>
      <c r="E37" s="23" t="inlineStr">
        <is>
          <t>Boundary</t>
        </is>
      </c>
      <c r="F37" s="23" t="inlineStr">
        <is>
          <t>Regression</t>
        </is>
      </c>
      <c r="G37" s="23" t="inlineStr">
        <is>
          <t>P2</t>
        </is>
      </c>
      <c r="H37" s="23" t="inlineStr">
        <is>
          <t>1. Bộ đếm thứ tự hiện tại = 998 cho phân loại tương ứng.</t>
        </is>
      </c>
      <c r="I37" s="23" t="inlineStr">
        <is>
          <t>1. Tạo code với thứ tự
999.
2. Lưu thành công.
3. Thử tạo thêm một code tiếp theo (dự kiến 1000).</t>
        </is>
      </c>
      <c r="J37" s="23" t="inlineStr">
        <is>
          <t>(i) Bản ghi thứ 999 lưu được.
(ii) Bản ghi tiếp theo bị từ chối vì vượt quá 999, thông báo rõ ràng.</t>
        </is>
      </c>
      <c r="K37" s="23" t="inlineStr">
        <is>
          <t>II.5.1.1.5</t>
        </is>
      </c>
      <c r="L37" s="23" t="inlineStr">
        <is>
          <t>BR_09</t>
        </is>
      </c>
      <c r="M37" s="23" t="inlineStr">
        <is>
          <t>FLOW-ORDER-BOUNDARY</t>
        </is>
      </c>
      <c r="N37" s="23" t="n"/>
      <c r="O37" s="23" t="n"/>
      <c r="P37" s="23" t="n"/>
      <c r="Q37" s="23" t="n"/>
      <c r="R37" s="23" t="n"/>
      <c r="S37" s="23" t="n"/>
      <c r="T37" s="23" t="n"/>
      <c r="U37" s="23">
        <f>IF(R37&lt;&gt;"", R37, O37)</f>
        <v/>
      </c>
    </row>
    <row r="38" ht="15.75" customHeight="1" s="17">
      <c r="A38" s="23" t="inlineStr">
        <is>
          <t>FC-KHDN-BR06-NEG-001</t>
        </is>
      </c>
      <c r="B38" s="23" t="inlineStr">
        <is>
          <t>FEE-CODE-KHDN</t>
        </is>
      </c>
      <c r="C38" s="23" t="inlineStr">
        <is>
          <t>II.5.1.1.5 - Thêm mới code phí dành cho KHDN</t>
        </is>
      </c>
      <c r="D38" s="23" t="inlineStr">
        <is>
          <t>Kiểm tra UI: Chọn KHDN phải ẩn hoàn toàn danh sách segment</t>
        </is>
      </c>
      <c r="E38" s="23" t="inlineStr">
        <is>
          <t>Negative</t>
        </is>
      </c>
      <c r="F38" s="23" t="inlineStr">
        <is>
          <t>Regression</t>
        </is>
      </c>
      <c r="G38" s="23" t="inlineStr">
        <is>
          <t>P1</t>
        </is>
      </c>
      <c r="H38" s="23" t="inlineStr">
        <is>
          <t>1. Đang ở form 'Thêm code phí'.</t>
        </is>
      </c>
      <c r="I38" s="23" t="inlineStr">
        <is>
          <t>1. Tại trường 'Loại khách hàng', chọn 'KHTC/DNSN'.
2. Cuộn xuống phân vùng 'Quy tắc tính phí' và quan sát hiển thị.</t>
        </is>
      </c>
      <c r="J38" s="23" t="inlineStr">
        <is>
          <t>(i) Hệ thống ẩn hoàn toàn danh sách 9 segment (như KHCN).
(ii) Chỉ hiển thị 01 dòng khai báo mức phí/tỷ lệ áp dụng chung cho toàn bộ phân khúc KHDN.
(iii) UI gọn gàng, không thừa các trường dữ liệu của KHCN.</t>
        </is>
      </c>
      <c r="K38" s="23" t="inlineStr">
        <is>
          <t>II.5.1.1.5</t>
        </is>
      </c>
      <c r="L38" s="23" t="inlineStr">
        <is>
          <t>BR_06</t>
        </is>
      </c>
      <c r="M38" s="23" t="inlineStr">
        <is>
          <t>UI-KHDN-NOSEGMENT</t>
        </is>
      </c>
      <c r="N38" s="23" t="inlineStr">
        <is>
          <t>Added after QA Review</t>
        </is>
      </c>
      <c r="O38" s="23" t="n"/>
      <c r="P38" s="23" t="n"/>
      <c r="Q38" s="23" t="n"/>
      <c r="R38" s="23" t="n"/>
      <c r="S38" s="23" t="n"/>
      <c r="T38" s="23" t="n"/>
      <c r="U38" s="23">
        <f>IF(R38&lt;&gt;"", R38, O38)</f>
        <v/>
      </c>
    </row>
    <row r="39" ht="15.75" customHeight="1" s="17">
      <c r="A39" s="23" t="inlineStr">
        <is>
          <t>FC-KHDN-BR03-NEG-003</t>
        </is>
      </c>
      <c r="B39" s="23" t="inlineStr">
        <is>
          <t>FEE-CODE-KHDN</t>
        </is>
      </c>
      <c r="C39" s="23" t="inlineStr">
        <is>
          <t>II.5.1.1.5 - Thêm mới code phí dành cho KHDN</t>
        </is>
      </c>
      <c r="D39" s="23" t="inlineStr">
        <is>
          <t>Chuyển Loại tính phí: Kiểm tra tự động xóa trắng dữ liệu vùng cũ</t>
        </is>
      </c>
      <c r="E39" s="23" t="inlineStr">
        <is>
          <t>Negative</t>
        </is>
      </c>
      <c r="F39" s="23" t="inlineStr">
        <is>
          <t>Regression</t>
        </is>
      </c>
      <c r="G39" s="23" t="inlineStr">
        <is>
          <t>P2</t>
        </is>
      </c>
      <c r="H39" s="23" t="inlineStr">
        <is>
          <t>1. Đang nhập dữ liệu cho 'Theo giao dịch'.</t>
        </is>
      </c>
      <c r="I39" s="23" t="inlineStr">
        <is>
          <t>1. Nhập liệu demo (Số tiền, v.v.).
2. Thay đổi 'Loại tính phí' thành 'Định kỳ'.
3. Chuyển ngược lại về 'Theo giao dịch'.
4. Kiểm tra các ô nhập liệu.</t>
        </is>
      </c>
      <c r="J39" s="23" t="inlineStr">
        <is>
          <t>(i) Khi chuyển loại: Vùng dữ liệu cũ bị ẩn đi.
(ii) Khi quay lại: Toàn bộ ô nhập liệu trước đó phải trở về trạng thái trống (Clear).
(iii) Đảm bảo dữ liệu rác không được gửi lên server khi bấm 'Xác nhận'.</t>
        </is>
      </c>
      <c r="K39" s="23" t="inlineStr">
        <is>
          <t>II.5.1.1.5</t>
        </is>
      </c>
      <c r="L39" s="23" t="inlineStr">
        <is>
          <t>BR_03</t>
        </is>
      </c>
      <c r="M39" s="23" t="inlineStr">
        <is>
          <t>DATA-CLEANUP-TOGGLE</t>
        </is>
      </c>
      <c r="N39" s="23" t="inlineStr">
        <is>
          <t>Added after QA Review</t>
        </is>
      </c>
      <c r="O39" s="23" t="n"/>
      <c r="P39" s="23" t="n"/>
      <c r="Q39" s="23" t="n"/>
      <c r="R39" s="23" t="n"/>
      <c r="S39" s="23" t="n"/>
      <c r="T39" s="23" t="n"/>
      <c r="U39" s="23">
        <f>IF(R39&lt;&gt;"", R39, O39)</f>
        <v/>
      </c>
    </row>
    <row r="40" ht="15.75" customHeight="1" s="17">
      <c r="A40" s="23" t="inlineStr">
        <is>
          <t>FC-KHDN-SEC-01-ROLE</t>
        </is>
      </c>
      <c r="B40" s="23" t="inlineStr">
        <is>
          <t>FEE-CODE-KHDN</t>
        </is>
      </c>
      <c r="C40" s="23" t="inlineStr">
        <is>
          <t>II.5.1.1.5 - Thêm mới code phí dành cho KHDN</t>
        </is>
      </c>
      <c r="D40" s="23" t="inlineStr">
        <is>
          <t>Phân quyền: Checker/Viewer không được phép thấy/click nút thêm mới</t>
        </is>
      </c>
      <c r="E40" s="23" t="inlineStr">
        <is>
          <t>Security</t>
        </is>
      </c>
      <c r="F40" s="23" t="inlineStr">
        <is>
          <t>Regression</t>
        </is>
      </c>
      <c r="G40" s="23" t="inlineStr">
        <is>
          <t>P1</t>
        </is>
      </c>
      <c r="H40" s="23" t="inlineStr">
        <is>
          <t>1. Đăng nhập vai trò Checker hoặc Viewer.</t>
        </is>
      </c>
      <c r="I40" s="23" t="inlineStr">
        <is>
          <t>1. Vào màn hình chi tiết SPDV cấp cuối.
2. Kiểm tra sự hiện diện của nút 'Thêm code phí'.
3. Thử truy cập trực tiếp bằng URL của form thêm mới.</t>
        </is>
      </c>
      <c r="J40" s="23" t="inlineStr">
        <is>
          <t>(i) Nút 'Thêm code phí' bị ẩn hoặc disabled.
(ii) Nếu truy cập qua URL: Hệ thống hiển thị thông báo '403 Forbidden' hoặc 'Bạn không có quyền'.
(iii) Tuyệt đối không cho phép mở form và nhập liệu.</t>
        </is>
      </c>
      <c r="K40" s="23" t="inlineStr">
        <is>
          <t>II.5.1.1.5</t>
        </is>
      </c>
      <c r="L40" s="23" t="inlineStr">
        <is>
          <t>Functional</t>
        </is>
      </c>
      <c r="M40" s="23" t="inlineStr">
        <is>
          <t>ROLES-PERMISSION-BLOCK</t>
        </is>
      </c>
      <c r="N40" s="23" t="inlineStr">
        <is>
          <t>Added after QA Review</t>
        </is>
      </c>
      <c r="O40" s="23" t="n"/>
      <c r="P40" s="23" t="n"/>
      <c r="Q40" s="23" t="n"/>
      <c r="R40" s="23" t="n"/>
      <c r="S40" s="23" t="n"/>
      <c r="T40" s="23" t="n"/>
      <c r="U40" s="23">
        <f>IF(R40&lt;&gt;"", R40, O40)</f>
        <v/>
      </c>
    </row>
    <row r="41" ht="15.75" customHeight="1" s="17">
      <c r="A41" s="23" t="inlineStr">
        <is>
          <t>FC-KHDN-FLOW-NEG-036</t>
        </is>
      </c>
      <c r="B41" s="23" t="inlineStr">
        <is>
          <t>FEE-CODE-KHDN</t>
        </is>
      </c>
      <c r="C41" s="23" t="inlineStr">
        <is>
          <t>II.5.1.1.5 - Thêm mới code phí dành cho KHDN</t>
        </is>
      </c>
      <c r="D41" s="23" t="inlineStr">
        <is>
          <t>Dropdown Công thức trống: Kiểm tra hiển thị và thông báo</t>
        </is>
      </c>
      <c r="E41" s="23" t="inlineStr">
        <is>
          <t>Negative</t>
        </is>
      </c>
      <c r="F41" s="23" t="inlineStr">
        <is>
          <t>Smoke</t>
        </is>
      </c>
      <c r="G41" s="23" t="inlineStr">
        <is>
          <t>P2</t>
        </is>
      </c>
      <c r="H41" s="23" t="inlineStr">
        <is>
          <t>1. SPDV không có bất kỳ công thức nào được Checker phê duyệt.</t>
        </is>
      </c>
      <c r="I41" s="23" t="inlineStr">
        <is>
          <t>1. Mở form 'Thêm code phí'.
2. Mở dropdown 'Công thức tính phí'.</t>
        </is>
      </c>
      <c r="J41" s="23" t="inlineStr">
        <is>
          <t>(i) Danh sách dropdown trống.
(ii) Hệ thống hiển thị text cảnh báo: 'Không có dữ liệu công thức phê duyệt'.
(iii) Nút 'Xác nhận' bị disabled chặn lưu.</t>
        </is>
      </c>
      <c r="K41" s="23" t="inlineStr">
        <is>
          <t>II.5.1.1.5</t>
        </is>
      </c>
      <c r="L41" s="23" t="inlineStr">
        <is>
          <t>BR_04</t>
        </is>
      </c>
      <c r="M41" s="23" t="inlineStr">
        <is>
          <t>FORMULA-EMPTY-NOTIFY</t>
        </is>
      </c>
      <c r="N41" s="23" t="inlineStr">
        <is>
          <t>Added after QA Review</t>
        </is>
      </c>
      <c r="O41" s="23" t="n"/>
      <c r="P41" s="23" t="n"/>
      <c r="Q41" s="23" t="n"/>
      <c r="R41" s="23" t="n"/>
      <c r="S41" s="23" t="n"/>
      <c r="T41" s="23" t="n"/>
      <c r="U41" s="23">
        <f>IF(R41&lt;&gt;"", R41, O41)</f>
        <v/>
      </c>
    </row>
    <row r="42" ht="15.75" customHeight="1" s="17">
      <c r="A42" s="23" t="inlineStr">
        <is>
          <t>PR01-KHDN-BR08-NEW-001</t>
        </is>
      </c>
      <c r="B42" s="23" t="inlineStr">
        <is>
          <t>PR01-KHDN</t>
        </is>
      </c>
      <c r="C42" s="23" t="inlineStr">
        <is>
          <t>Thêm mới Code phí</t>
        </is>
      </c>
      <c r="D42" s="23" t="inlineStr">
        <is>
          <t>[v0.9-NEW] Xác minh Mã code phí do hệ thống tự sinh sau khi Thêm mới</t>
        </is>
      </c>
      <c r="E42" s="23" t="inlineStr">
        <is>
          <t>Happy</t>
        </is>
      </c>
      <c r="F42" s="23" t="inlineStr">
        <is>
          <t>Smoke</t>
        </is>
      </c>
      <c r="G42" s="23" t="inlineStr">
        <is>
          <t>P1</t>
        </is>
      </c>
      <c r="H42" s="23" t="inlineStr">
        <is>
          <t>Maker có quyền, đã điền đầy đủ thông tin bắt buộc (không có trường Mã code phí để nhập).</t>
        </is>
      </c>
      <c r="I42" s="23" t="inlineStr">
        <is>
          <t>1. Điền đầy đủ thông tin bắt buộc tại màn hình Thêm mới Code phí.
2. Nhấn 'Xác nhận'.
3. Checker phê duyệt.
4. Mở bản ghi vừa tạo, quan sát trường Mã code phí.</t>
        </is>
      </c>
      <c r="J42" s="23" t="inlineStr">
        <is>
          <t>(i) Logic: Trường 'Mã code phí' không hiển thị để nhập ở form tạo mới.
(ii) Sau duyệt, hệ thống tự sinh mã đúng cấu trúc [Phân khúc]_[Nhóm SPDV]_[Thứ tự] – 11 ký tự.
(iii) Mã là duy nhất, không trùng bản ghi khác trong hệ thống.</t>
        </is>
      </c>
      <c r="K42" s="23" t="inlineStr">
        <is>
          <t>II.5.1.1 – BR_08</t>
        </is>
      </c>
      <c r="L42" s="23" t="inlineStr">
        <is>
          <t>BR_08</t>
        </is>
      </c>
      <c r="M42" s="23" t="inlineStr">
        <is>
          <t>BR_08-NEW-001</t>
        </is>
      </c>
      <c r="N42" s="23" t="inlineStr">
        <is>
          <t>[v0.9-NEW] Theo diff URD v0.9 – mã code phí là mã hệ thống tự sinh</t>
        </is>
      </c>
      <c r="O42" s="23" t="n"/>
      <c r="P42" s="23" t="n"/>
      <c r="Q42" s="23" t="n"/>
      <c r="R42" s="23" t="n"/>
      <c r="S42" s="23" t="n"/>
      <c r="T42" s="23" t="n"/>
      <c r="U42" s="23" t="n"/>
    </row>
    <row r="43" ht="15.75" customHeight="1" s="17">
      <c r="A43" s="23" t="inlineStr">
        <is>
          <t>PR01-KHDN-BR08-NEG-NEW-001</t>
        </is>
      </c>
      <c r="B43" s="23" t="inlineStr">
        <is>
          <t>PR01-KHDN</t>
        </is>
      </c>
      <c r="C43" s="23" t="inlineStr">
        <is>
          <t>Thêm mới Code phí</t>
        </is>
      </c>
      <c r="D43" s="23" t="inlineStr">
        <is>
          <t>[v0.9-NEW] Xác minh giao diện KHÔNG cho phép nhập thủ công Mã code phí</t>
        </is>
      </c>
      <c r="E43" s="23" t="inlineStr">
        <is>
          <t>Negative</t>
        </is>
      </c>
      <c r="F43" s="23" t="inlineStr">
        <is>
          <t>Regression</t>
        </is>
      </c>
      <c r="G43" s="23" t="inlineStr">
        <is>
          <t>P1</t>
        </is>
      </c>
      <c r="H43" s="23" t="inlineStr">
        <is>
          <t>Màn hình Thêm mới Code phí.</t>
        </is>
      </c>
      <c r="I43" s="23" t="inlineStr">
        <is>
          <t>1. Mở màn hình Thêm mới Code phí.
2. Kiểm tra danh sách tất cả các trường hiển thị trên form.</t>
        </is>
      </c>
      <c r="J43" s="23" t="inlineStr">
        <is>
          <t>(i) UI: Không tồn tại trường input nào có label 'Mã code phí' ở dạng editable.
(ii) Nếu trường Mã hiển thị thì ở dạng read-only/disabled, không cho nhập.
(iii) Logic: Không thể bypass bằng cách inspect/edit DOM để inject giá trị mã.</t>
        </is>
      </c>
      <c r="K43" s="23" t="inlineStr">
        <is>
          <t>II.5.1.1 – BR_08</t>
        </is>
      </c>
      <c r="L43" s="23" t="inlineStr">
        <is>
          <t>BR_08</t>
        </is>
      </c>
      <c r="M43" s="23" t="inlineStr">
        <is>
          <t>BR_08-NEG-NEW-001</t>
        </is>
      </c>
      <c r="N43" s="23" t="inlineStr">
        <is>
          <t>[v0.9-NEW] Security check – mã tự sinh không được nhập tay</t>
        </is>
      </c>
      <c r="O43" s="23" t="n"/>
      <c r="P43" s="23" t="n"/>
      <c r="Q43" s="23" t="n"/>
      <c r="R43" s="23" t="n"/>
      <c r="S43" s="23" t="n"/>
      <c r="T43" s="23" t="n"/>
      <c r="U43" s="23" t="n"/>
    </row>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1">
    <mergeCell ref="A1:U1"/>
  </mergeCells>
  <conditionalFormatting sqref="U3:U1000">
    <cfRule type="cellIs" priority="1" operator="equal" dxfId="1">
      <formula>"Pass"</formula>
    </cfRule>
    <cfRule type="cellIs" priority="2" operator="equal" dxfId="0">
      <formula>"Fail"</formula>
    </cfRule>
  </conditionalFormatting>
  <dataValidations count="2">
    <dataValidation sqref="O3:O49 R3:R49" showDropDown="0" showInputMessage="0" showErrorMessage="0" allowBlank="1" type="list">
      <formula1>"Pass,Fail,Doing,Blocked,N/A"</formula1>
    </dataValidation>
    <dataValidation sqref="P3:P49 S3:S49" showDropDown="0" showInputMessage="0" showErrorMessage="0" allowBlank="1" type="list">
      <formula1>"Định,Thanh,Vân Anh,Hiệp"</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U27"/>
  <sheetViews>
    <sheetView workbookViewId="0">
      <pane ySplit="2" topLeftCell="A3" activePane="bottomLeft" state="frozen"/>
      <selection pane="bottomLeft" activeCell="B4" sqref="B4"/>
    </sheetView>
  </sheetViews>
  <sheetFormatPr baseColWidth="10" defaultColWidth="14.5" defaultRowHeight="15" customHeight="1"/>
  <cols>
    <col width="14" customWidth="1" style="17" min="1" max="1"/>
    <col width="8" customWidth="1" style="17" min="2" max="3"/>
    <col width="22" customWidth="1" style="17" min="3" max="3"/>
    <col width="38" customWidth="1" style="17" min="4" max="4"/>
    <col hidden="1" width="12" customWidth="1" style="17" min="5" max="7"/>
    <col width="12" customWidth="1" style="17" min="6" max="6"/>
    <col width="9" customWidth="1" style="17" min="7" max="7"/>
    <col width="32" customWidth="1" style="17" min="8" max="10"/>
    <col width="42" customWidth="1" style="17" min="9" max="9"/>
    <col width="52" customWidth="1" style="17" min="10" max="10"/>
    <col width="22" customWidth="1" style="17" min="11" max="12"/>
    <col width="14" customWidth="1" style="17" min="12" max="12"/>
    <col width="14" customWidth="1" style="17" min="13" max="13"/>
    <col width="22" customWidth="1" style="17" min="14" max="14"/>
    <col width="12" customWidth="1" style="17" min="15" max="21"/>
    <col width="12" customWidth="1" style="17" min="16" max="16"/>
    <col width="12" customWidth="1" style="17" min="17" max="17"/>
    <col width="12" customWidth="1" style="17" min="18" max="18"/>
    <col width="12" customWidth="1" style="17" min="19" max="19"/>
    <col width="12" customWidth="1" style="17" min="20" max="20"/>
    <col width="12" customWidth="1" style="17" min="21" max="21"/>
    <col width="8.6640625" customWidth="1" style="17" min="22" max="26"/>
  </cols>
  <sheetData>
    <row r="1" ht="17" customHeight="1" s="17">
      <c r="A1" s="21" t="inlineStr">
        <is>
          <t>TEST CASES — II.5.1.1.6. Chuyển đổi Code phí từ SPDV này sang SPDV khác</t>
        </is>
      </c>
    </row>
    <row r="2" ht="16" customHeight="1" s="17">
      <c r="A2" s="1" t="inlineStr">
        <is>
          <t>TC_ID</t>
        </is>
      </c>
      <c r="B2" s="1" t="inlineStr">
        <is>
          <t>Module</t>
        </is>
      </c>
      <c r="C2" s="1" t="inlineStr">
        <is>
          <t>Feature</t>
        </is>
      </c>
      <c r="D2" s="1" t="inlineStr">
        <is>
          <t>Title</t>
        </is>
      </c>
      <c r="E2" s="1" t="inlineStr">
        <is>
          <t>Type</t>
        </is>
      </c>
      <c r="F2" s="1" t="inlineStr">
        <is>
          <t>Category</t>
        </is>
      </c>
      <c r="G2" s="1" t="inlineStr">
        <is>
          <t>Priority</t>
        </is>
      </c>
      <c r="H2" s="1" t="inlineStr">
        <is>
          <t>Precondition</t>
        </is>
      </c>
      <c r="I2" s="1" t="inlineStr">
        <is>
          <t>Steps</t>
        </is>
      </c>
      <c r="J2" s="1" t="inlineStr">
        <is>
          <t>Expected</t>
        </is>
      </c>
      <c r="K2" s="1" t="inlineStr">
        <is>
          <t>URD_Ref</t>
        </is>
      </c>
      <c r="L2" s="1" t="inlineStr">
        <is>
          <t>BR_Ref</t>
        </is>
      </c>
      <c r="M2" s="1" t="inlineStr">
        <is>
          <t>Trace_ID</t>
        </is>
      </c>
      <c r="N2" s="1" t="inlineStr">
        <is>
          <t>Note</t>
        </is>
      </c>
      <c r="O2" s="1" t="inlineStr">
        <is>
          <t>Status R1</t>
        </is>
      </c>
      <c r="P2" s="1" t="inlineStr">
        <is>
          <t>Tester R1</t>
        </is>
      </c>
      <c r="Q2" s="1" t="inlineStr">
        <is>
          <t>Date R1</t>
        </is>
      </c>
      <c r="R2" s="1" t="inlineStr">
        <is>
          <t>Status R2</t>
        </is>
      </c>
      <c r="S2" s="1" t="inlineStr">
        <is>
          <t>Tester R2</t>
        </is>
      </c>
      <c r="T2" s="1" t="inlineStr">
        <is>
          <t>Date R2</t>
        </is>
      </c>
      <c r="U2" s="1" t="inlineStr">
        <is>
          <t>Final Status</t>
        </is>
      </c>
    </row>
    <row r="3" ht="128" customHeight="1" s="17">
      <c r="A3" s="23" t="inlineStr">
        <is>
          <t>SPDV-XFER-BR01-HAP-001</t>
        </is>
      </c>
      <c r="B3" s="23" t="inlineStr">
        <is>
          <t>Chuyển đổi Code phí giữa SPDV</t>
        </is>
      </c>
      <c r="C3" s="23" t="inlineStr">
        <is>
          <t>Chuyển đổi Code phí</t>
        </is>
      </c>
      <c r="D3" s="23" t="inlineStr">
        <is>
          <t>Xác nhận khi đã nhập đủ trường bắt buộc (*)</t>
        </is>
      </c>
      <c r="E3" s="23" t="inlineStr">
        <is>
          <t>Happy</t>
        </is>
      </c>
      <c r="F3" s="23" t="inlineStr">
        <is>
          <t>Smoke</t>
        </is>
      </c>
      <c r="G3" s="23" t="inlineStr">
        <is>
          <t>P1</t>
        </is>
      </c>
      <c r="H3" s="23" t="inlineStr">
        <is>
          <t>1. Vai trò: Maker Đang ở màn hình 'Chuyển đổi code phí' Có tối thiểu 1 SPDV mới hợp lệ đã phê duyệt Có tối thiểu 1 nhóm code phí thuộc cùng 1 SPDV cấp cuối cũ.</t>
        </is>
      </c>
      <c r="I3" s="23" t="inlineStr">
        <is>
          <t>1. Tại Danh mục SPDV, tích chọn 1+ code phí (phải cùng 1 SPDV cấp cuối cũ).
2. Nhấn nút 'Chuyển đổi' tại Toolbar.
3. Trên popup, gõ tìm và chọn SPDV cấp cuối mới (khác SPDV cũ).
4. Kiểm tra các trường thông tin tự sinh và nhập trường bắt buộc (*).
5. Nhấn 'Xác nhận' tại Footer popup.</t>
        </is>
      </c>
      <c r="J3" s="23" t="inlineStr">
        <is>
          <t>(i) Hệ thống gửi yêu cầu thành công.
(ii) Hiển thị thông báo Toast thành công.
(iii) Trạng thái bản ghi tại SPDV cũ chưa đổi; sinh tác vụ 'Chờ duyệt' tại module Tác vụ chờ duyệt.</t>
        </is>
      </c>
      <c r="K3" s="23" t="inlineStr">
        <is>
          <t>I.1.1.1.1</t>
        </is>
      </c>
      <c r="L3" s="23" t="inlineStr">
        <is>
          <t>BR_01; BR_09</t>
        </is>
      </c>
      <c r="M3" s="23" t="inlineStr">
        <is>
          <t>BR01-MANDATORY</t>
        </is>
      </c>
      <c r="N3" s="23" t="n"/>
      <c r="O3" s="23" t="n"/>
      <c r="P3" s="23" t="n"/>
      <c r="Q3" s="23" t="n"/>
      <c r="R3" s="23" t="n"/>
      <c r="S3" s="23" t="n"/>
      <c r="T3" s="23" t="n"/>
      <c r="U3" s="23">
        <f>IF(R3&lt;&gt;"", R3, O3)</f>
        <v/>
      </c>
    </row>
    <row r="4" ht="80" customHeight="1" s="17">
      <c r="A4" s="23" t="inlineStr">
        <is>
          <t>SPDV-XFER-BR01-NEG-002</t>
        </is>
      </c>
      <c r="B4" s="23" t="inlineStr">
        <is>
          <t>Chuyển đổi Code phí giữa SPDV</t>
        </is>
      </c>
      <c r="C4" s="23" t="inlineStr">
        <is>
          <t>Chuyển đổi Code phí</t>
        </is>
      </c>
      <c r="D4" s="23" t="inlineStr">
        <is>
          <t>Chặn 'Xác nhận' khi thiếu bất kỳ trường bắt buộc</t>
        </is>
      </c>
      <c r="E4" s="23" t="inlineStr">
        <is>
          <t>Negative</t>
        </is>
      </c>
      <c r="F4" s="23" t="inlineStr">
        <is>
          <t>Regression</t>
        </is>
      </c>
      <c r="G4" s="23" t="inlineStr">
        <is>
          <t>P1</t>
        </is>
      </c>
      <c r="H4" s="23" t="inlineStr">
        <is>
          <t>1. Vai trò: Maker Popup 'Chuyển đổi code phí' đang mở.</t>
        </is>
      </c>
      <c r="I4" s="23" t="inlineStr">
        <is>
          <t>1. Để trống lần lượt từng trường bắt buộc (biến thể 1/2/3…).
2. Nhấn 'Xác nhận'.</t>
        </is>
      </c>
      <c r="J4" s="23" t="inlineStr">
        <is>
          <t>(i) Hệ thống từ chối lưu.
(ii) Hiển thị thông báo lỗi cạnh trường thiếu và/hoặc toast tổng hợp.
(iii) Không tạo tác vụ, không thay đổi trạng thái bản ghi.
(iv) Audit ghi nhận lỗi validation, không phát sinh OT.01.</t>
        </is>
      </c>
      <c r="K4" s="23" t="inlineStr">
        <is>
          <t>I.1.1.1.1</t>
        </is>
      </c>
      <c r="L4" s="23" t="inlineStr">
        <is>
          <t>BR_01</t>
        </is>
      </c>
      <c r="M4" s="23" t="inlineStr">
        <is>
          <t>BR01-MANDATORY-NEG</t>
        </is>
      </c>
      <c r="N4" s="23" t="n"/>
      <c r="O4" s="23" t="n"/>
      <c r="P4" s="23" t="n"/>
      <c r="Q4" s="23" t="n"/>
      <c r="R4" s="23" t="n"/>
      <c r="S4" s="23" t="n"/>
      <c r="T4" s="23" t="n"/>
      <c r="U4" s="23">
        <f>IF(R4&lt;&gt;"", R4, O4)</f>
        <v/>
      </c>
    </row>
    <row r="5" ht="80" customHeight="1" s="17">
      <c r="A5" s="23" t="inlineStr">
        <is>
          <t>SPDV-XFER-BR02-HAP-003</t>
        </is>
      </c>
      <c r="B5" s="23" t="inlineStr">
        <is>
          <t>Chuyển đổi Code phí giữa SPDV</t>
        </is>
      </c>
      <c r="C5" s="23" t="inlineStr">
        <is>
          <t>Chuyển đổi Code phí</t>
        </is>
      </c>
      <c r="D5" s="23" t="inlineStr">
        <is>
          <t>Đóng popup – không lưu dữ liệu tạm nhập</t>
        </is>
      </c>
      <c r="E5" s="23" t="inlineStr">
        <is>
          <t>Happy</t>
        </is>
      </c>
      <c r="F5" s="23" t="inlineStr">
        <is>
          <t>Regression</t>
        </is>
      </c>
      <c r="G5" s="23" t="inlineStr">
        <is>
          <t>P2</t>
        </is>
      </c>
      <c r="H5" s="23" t="inlineStr">
        <is>
          <t>1. Vai trò: Maker Popup đang mở, đã nhập thay đổi hợp lệ.</t>
        </is>
      </c>
      <c r="I5" s="23" t="inlineStr">
        <is>
          <t>1. Nhấn 'Đóng'.
2. Xác nhận đóng nếu có cảnh báo.</t>
        </is>
      </c>
      <c r="J5" s="23" t="inlineStr">
        <is>
          <t>(i) Nghiệp vụ: Không lưu bất cứ dữ liệu nào; không tạo yêu cầu chuyển đổi.
(ii) UI: Popup đóng, không xuất hiện item mới trong lưới.
(iii) Trạng thái/audit: Không sinh OT.01; không có bản ghi 'Chờ duyệt'.</t>
        </is>
      </c>
      <c r="K5" s="23" t="inlineStr">
        <is>
          <t>I.1.1.1.1</t>
        </is>
      </c>
      <c r="L5" s="23" t="inlineStr">
        <is>
          <t>BR_02; BR_06</t>
        </is>
      </c>
      <c r="M5" s="23" t="inlineStr">
        <is>
          <t>BR02-CLOSE-NOSAVE</t>
        </is>
      </c>
      <c r="N5" s="23" t="n"/>
      <c r="O5" s="23" t="n"/>
      <c r="P5" s="23" t="n"/>
      <c r="Q5" s="23" t="n"/>
      <c r="R5" s="23" t="n"/>
      <c r="S5" s="23" t="n"/>
      <c r="T5" s="23" t="n"/>
      <c r="U5" s="23">
        <f>IF(R5&lt;&gt;"", R5, O5)</f>
        <v/>
      </c>
    </row>
    <row r="6" ht="64" customHeight="1" s="17">
      <c r="A6" s="23" t="inlineStr">
        <is>
          <t>SPDV-XFER-BR03-NEG-004</t>
        </is>
      </c>
      <c r="B6" s="23" t="inlineStr">
        <is>
          <t>Chuyển đổi Code phí giữa SPDV</t>
        </is>
      </c>
      <c r="C6" s="23" t="inlineStr">
        <is>
          <t>Chuyển đổi Code phí</t>
        </is>
      </c>
      <c r="D6" s="23" t="inlineStr">
        <is>
          <t>Chặn chuyển đổi khi SPDV mới chưa tồn tại/không hợp lệ</t>
        </is>
      </c>
      <c r="E6" s="23" t="inlineStr">
        <is>
          <t>Negative</t>
        </is>
      </c>
      <c r="F6" s="23" t="inlineStr">
        <is>
          <t>Smoke</t>
        </is>
      </c>
      <c r="G6" s="23" t="inlineStr">
        <is>
          <t>P1</t>
        </is>
      </c>
      <c r="H6" s="23" t="inlineStr">
        <is>
          <t>1. Vai trò: Maker Có danh sách code phí được chọn.</t>
        </is>
      </c>
      <c r="I6" s="23" t="inlineStr">
        <is>
          <t>1. Mở popup.
2. Tìm chọn một SPDV mới ở trạng thái chưa phê duyệt/đã hết hiệu lực/không khớp số cấp tham số n.
3. Nhấn 'Xác nhận'.</t>
        </is>
      </c>
      <c r="J6" s="23" t="inlineStr">
        <is>
          <t>(i) Hệ thống từ chối: thông báo SPDV mới không hợp lệ hoặc chưa được phê duyệt.
(ii) Không sinh tác vụ; dữ liệu không đổi.
(iii) Audit ghi nhận lỗi tham chiếu SPDV.</t>
        </is>
      </c>
      <c r="K6" s="23" t="inlineStr">
        <is>
          <t>I.1.1.1.1</t>
        </is>
      </c>
      <c r="L6" s="23" t="inlineStr">
        <is>
          <t>BR_03</t>
        </is>
      </c>
      <c r="M6" s="23" t="inlineStr">
        <is>
          <t>BR03-SPDV-VALIDATION</t>
        </is>
      </c>
      <c r="N6" s="23" t="n"/>
      <c r="O6" s="23" t="n"/>
      <c r="P6" s="23" t="n"/>
      <c r="Q6" s="23" t="n"/>
      <c r="R6" s="23" t="n"/>
      <c r="S6" s="23" t="n"/>
      <c r="T6" s="23" t="n"/>
      <c r="U6" s="23">
        <f>IF(R6&lt;&gt;"", R6, O6)</f>
        <v/>
      </c>
    </row>
    <row r="7" ht="48" customHeight="1" s="17">
      <c r="A7" s="23" t="inlineStr">
        <is>
          <t>SPDV-XFER-BR04-NEG-005</t>
        </is>
      </c>
      <c r="B7" s="23" t="inlineStr">
        <is>
          <t>Chuyển đổi Code phí giữa SPDV</t>
        </is>
      </c>
      <c r="C7" s="23" t="inlineStr">
        <is>
          <t>Chuyển đổi Code phí</t>
        </is>
      </c>
      <c r="D7" s="23" t="inlineStr">
        <is>
          <t>Chặn khi chọn cùng SPDV cấp cuối cũ</t>
        </is>
      </c>
      <c r="E7" s="23" t="inlineStr">
        <is>
          <t>Negative</t>
        </is>
      </c>
      <c r="F7" s="23" t="inlineStr">
        <is>
          <t>Smoke</t>
        </is>
      </c>
      <c r="G7" s="23" t="inlineStr">
        <is>
          <t>P1</t>
        </is>
      </c>
      <c r="H7" s="23" t="inlineStr">
        <is>
          <t>1. Vai trò: Maker Có ít nhất 1 code phí ở SPDV cấp cuối A.</t>
        </is>
      </c>
      <c r="I7" s="23" t="inlineStr">
        <is>
          <t>1. Mở popup, chọn SPDV mới = A (cùng cấp cuối hiện tại).
2. Nhấn 'Xác nhận'.</t>
        </is>
      </c>
      <c r="J7" s="23" t="inlineStr">
        <is>
          <t>(i) Bị chặn với thông báo 'SPDV mới phải khác SPDV hiện tại'.
(ii) Không tạo tác vụ, không thay đổi dữ liệu.
(iii) Audit ghi nhận sự kiện bị từ chối.</t>
        </is>
      </c>
      <c r="K7" s="23" t="inlineStr">
        <is>
          <t>I.1.1.1.1</t>
        </is>
      </c>
      <c r="L7" s="23" t="inlineStr">
        <is>
          <t>BR_04</t>
        </is>
      </c>
      <c r="M7" s="23" t="inlineStr">
        <is>
          <t>BR04-DIFF-LEAF</t>
        </is>
      </c>
      <c r="N7" s="23" t="n"/>
      <c r="O7" s="23" t="n"/>
      <c r="P7" s="23" t="n"/>
      <c r="Q7" s="23" t="n"/>
      <c r="R7" s="23" t="n"/>
      <c r="S7" s="23" t="n"/>
      <c r="T7" s="23" t="n"/>
      <c r="U7" s="23">
        <f>IF(R7&lt;&gt;"", R7, O7)</f>
        <v/>
      </c>
    </row>
    <row r="8" ht="96" customHeight="1" s="17">
      <c r="A8" s="23" t="inlineStr">
        <is>
          <t>SPDV-XFER-BR05-HAP-006</t>
        </is>
      </c>
      <c r="B8" s="23" t="inlineStr">
        <is>
          <t>Chuyển đổi Code phí giữa SPDV</t>
        </is>
      </c>
      <c r="C8" s="23" t="inlineStr">
        <is>
          <t>Chuyển đổi Code phí</t>
        </is>
      </c>
      <c r="D8" s="23" t="inlineStr">
        <is>
          <t>Chuyển nhiều code phí cùng 1 SPDV cấp cuối cũ sang 1 SPDV cấp cuối mới</t>
        </is>
      </c>
      <c r="E8" s="23" t="inlineStr">
        <is>
          <t>Happy</t>
        </is>
      </c>
      <c r="F8" s="23" t="inlineStr">
        <is>
          <t>Smoke</t>
        </is>
      </c>
      <c r="G8" s="23" t="inlineStr">
        <is>
          <t>P1</t>
        </is>
      </c>
      <c r="H8" s="23" t="inlineStr">
        <is>
          <t>1. Vai trò: Maker Có nhóm 2–10 code phí thuộc cùng SPDV cấp cuối A Có SPDV cấp cuối B hợp lệ.</t>
        </is>
      </c>
      <c r="I8" s="23" t="inlineStr">
        <is>
          <t>1. Chọn tất cả các code phí thuộc cùng A.
2. Nhấn 'Chuyển đổi'.
3. Trên popup chọn SPDV mới = B.
4. Nhấn 'Xác nhận'.</t>
        </is>
      </c>
      <c r="J8" s="23" t="inlineStr">
        <is>
          <t>(i) Hệ thống ghi nhận 1 yêu cầu chuyển đổi duy nhất cho cả nhóm.
(ii) UI: toast thành công; lưới vẫn hiển thị các code phí ở SPDV cũ cho đến khi phê duyệt.
(iii) Trạng thái/audit: tạo 1 tác vụ OT.01 'Chờ duyệt' gắn danh sách code phí; log chi tiết A→B.</t>
        </is>
      </c>
      <c r="K8" s="23" t="inlineStr">
        <is>
          <t>I.1.1.1.1</t>
        </is>
      </c>
      <c r="L8" s="23" t="inlineStr">
        <is>
          <t>BR_05; BR_08; BR_09</t>
        </is>
      </c>
      <c r="M8" s="23" t="inlineStr">
        <is>
          <t>BR05-GROUP-XFER</t>
        </is>
      </c>
      <c r="N8" s="23" t="inlineStr">
        <is>
          <t>[v0.9-UPD] BR_05: cho phép chuyển nhiều code phí</t>
        </is>
      </c>
      <c r="O8" s="23" t="n"/>
      <c r="P8" s="23" t="n"/>
      <c r="Q8" s="23" t="n"/>
      <c r="R8" s="23" t="n"/>
      <c r="S8" s="23" t="n"/>
      <c r="T8" s="23" t="n"/>
      <c r="U8" s="23">
        <f>IF(R8&lt;&gt;"", R8, O8)</f>
        <v/>
      </c>
    </row>
    <row r="9" ht="64" customHeight="1" s="17">
      <c r="A9" s="23" t="inlineStr">
        <is>
          <t>SPDV-XFER-BR05-NEG-007</t>
        </is>
      </c>
      <c r="B9" s="23" t="inlineStr">
        <is>
          <t>Chuyển đổi Code phí giữa SPDV</t>
        </is>
      </c>
      <c r="C9" s="23" t="inlineStr">
        <is>
          <t>Chuyển đổi Code phí</t>
        </is>
      </c>
      <c r="D9" s="23" t="inlineStr">
        <is>
          <t>Chặn chọn code phí từ nhiều SPDV cấp cuối cũ trong cùng một lần chuyển</t>
        </is>
      </c>
      <c r="E9" s="23" t="inlineStr">
        <is>
          <t>Negative</t>
        </is>
      </c>
      <c r="F9" s="23" t="inlineStr">
        <is>
          <t>Regression</t>
        </is>
      </c>
      <c r="G9" s="23" t="inlineStr">
        <is>
          <t>P2</t>
        </is>
      </c>
      <c r="H9" s="23" t="inlineStr">
        <is>
          <t>1. Vai trò: Maker Danh sách có code phí thuộc các SPDV cấp cuối A và C.</t>
        </is>
      </c>
      <c r="I9" s="23" t="inlineStr">
        <is>
          <t>1. Tick chọn lộn xộn code phí từ 2 SPDV cấp cuối khác nhau (Ví dụ A và C).
2. Quan sát phản ứng hoặc nhấn 'Chuyển đổi'.</t>
        </is>
      </c>
      <c r="J9" s="23" t="inlineStr">
        <is>
          <t>(i) Hệ thống cảnh báo ngay khi tích chọn hoặc Chặn khi nhấn nút.
(ii) Thông báo lỗi: 'Chỉ được phép chuyển các code phí thuộc cùng một SPDV cấp cuối trong một lần chọn'.</t>
        </is>
      </c>
      <c r="K9" s="23" t="inlineStr">
        <is>
          <t>I.1.1.1.1</t>
        </is>
      </c>
      <c r="L9" s="23" t="inlineStr">
        <is>
          <t>BR_05</t>
        </is>
      </c>
      <c r="M9" s="23" t="inlineStr">
        <is>
          <t>BR05-SAME-OLD-LEAF</t>
        </is>
      </c>
      <c r="N9" s="23" t="inlineStr">
        <is>
          <t>[v0.9-UPD] BR_05: cho phép chuyển nhiều code phí</t>
        </is>
      </c>
      <c r="O9" s="23" t="n"/>
      <c r="P9" s="23" t="n"/>
      <c r="Q9" s="23" t="n"/>
      <c r="R9" s="23" t="n"/>
      <c r="S9" s="23" t="n"/>
      <c r="T9" s="23" t="n"/>
      <c r="U9" s="23">
        <f>IF(R9&lt;&gt;"", R9, O9)</f>
        <v/>
      </c>
    </row>
    <row r="10" ht="64" customHeight="1" s="17">
      <c r="A10" s="23" t="inlineStr">
        <is>
          <t>SPDV-XFER-BR07-NEG-008</t>
        </is>
      </c>
      <c r="B10" s="23" t="inlineStr">
        <is>
          <t>Chuyển đổi Code phí giữa SPDV</t>
        </is>
      </c>
      <c r="C10" s="23" t="inlineStr">
        <is>
          <t>Chuyển đổi Code phí</t>
        </is>
      </c>
      <c r="D10" s="23" t="inlineStr">
        <is>
          <t>Chặn khi cây SPDV mới không phù hợp cấu hình với các code phí đã chọn</t>
        </is>
      </c>
      <c r="E10" s="23" t="inlineStr">
        <is>
          <t>Negative</t>
        </is>
      </c>
      <c r="F10" s="23" t="inlineStr">
        <is>
          <t>Smoke</t>
        </is>
      </c>
      <c r="G10" s="23" t="inlineStr">
        <is>
          <t>P1</t>
        </is>
      </c>
      <c r="H10" s="23" t="inlineStr">
        <is>
          <t>1. Vai trò: Maker Có cấu hình SPDV B thiếu các SPDV trung gian/thuộc tính bắt buộc đối với code phí.</t>
        </is>
      </c>
      <c r="I10" s="23" t="inlineStr">
        <is>
          <t>1. Chọn nhóm code phí hợp lệ.
2. Chọn SPDV mới B không đáp ứng cấu hình yêu cầu.
3. Nhấn 'Xác nhận'.</t>
        </is>
      </c>
      <c r="J10" s="23" t="inlineStr">
        <is>
          <t>(i) Bị chặn; thông báo nêu rõ hạng mục cấu hình thiếu/không khớp.
(ii) Không sinh tác vụ.
(iii) Audit ghi nguyên nhân không phù hợp cấu hình.</t>
        </is>
      </c>
      <c r="K10" s="23" t="inlineStr">
        <is>
          <t>I.1.1.1.1</t>
        </is>
      </c>
      <c r="L10" s="23" t="inlineStr">
        <is>
          <t>BR_07</t>
        </is>
      </c>
      <c r="M10" s="23" t="inlineStr">
        <is>
          <t>BR07-VALIDATE-NEW-TREE</t>
        </is>
      </c>
      <c r="N10" s="23" t="n"/>
      <c r="O10" s="23" t="n"/>
      <c r="P10" s="23" t="n"/>
      <c r="Q10" s="23" t="n"/>
      <c r="R10" s="23" t="n"/>
      <c r="S10" s="23" t="n"/>
      <c r="T10" s="23" t="n"/>
      <c r="U10" s="23">
        <f>IF(R10&lt;&gt;"", R10, O10)</f>
        <v/>
      </c>
    </row>
    <row r="11" ht="96" customHeight="1" s="17">
      <c r="A11" s="23" t="inlineStr">
        <is>
          <t>SPDV-XFER-BR09-HAP-009</t>
        </is>
      </c>
      <c r="B11" s="23" t="inlineStr">
        <is>
          <t>Chuyển đổi Code phí giữa SPDV</t>
        </is>
      </c>
      <c r="C11" s="23" t="inlineStr">
        <is>
          <t>Chuyển đổi Code phí</t>
        </is>
      </c>
      <c r="D11" s="23" t="inlineStr">
        <is>
          <t>Sau khi tạo yêu cầu: trạng thái 'Chờ duyệt', hiển thị trong 'Tác vụ chờ duyệt' và vẫn còn ở SPDV cũ</t>
        </is>
      </c>
      <c r="E11" s="23" t="inlineStr">
        <is>
          <t>Happy</t>
        </is>
      </c>
      <c r="F11" s="23" t="inlineStr">
        <is>
          <t>Smoke</t>
        </is>
      </c>
      <c r="G11" s="23" t="inlineStr">
        <is>
          <t>P1</t>
        </is>
      </c>
      <c r="H11" s="23" t="inlineStr">
        <is>
          <t>1. Vai trò: Maker Vừa tạo yêu cầu chuyển đổi thành công.</t>
        </is>
      </c>
      <c r="I11" s="23" t="inlineStr">
        <is>
          <t>1. Mở 'Tác vụ chờ duyệt'.
2. Tìm yêu cầu vừa tạo.
3. Vào danh sách SPDV cũ và mới để quan sát hiển thị.</t>
        </is>
      </c>
      <c r="J11" s="23" t="inlineStr">
        <is>
          <t>(i) Nghiệp vụ: Yêu cầu có trạng thái 'Chờ duyệt'.
(ii) UI: Item xuất hiện tại 'Tác vụ chờ duyệt'; trong danh sách SPDV, bản ghi vẫn hiển thị ở cây cũ và CHƯA hiển thị ở cây mới.
(iii) Audit: log đầy đủ Maker, thời gian {T}, nội dung chuyển.
(iv) Versioning: không tạo bản ghi version mới; mọi thay đổi qua OT.01.</t>
        </is>
      </c>
      <c r="K11" s="23" t="inlineStr">
        <is>
          <t>I.1.1.1.1</t>
        </is>
      </c>
      <c r="L11" s="23" t="inlineStr">
        <is>
          <t>BR_08; BR_09</t>
        </is>
      </c>
      <c r="M11" s="23" t="inlineStr">
        <is>
          <t>BR09-PENDING-VISIBILITY</t>
        </is>
      </c>
      <c r="N11" s="23" t="n"/>
      <c r="O11" s="23" t="n"/>
      <c r="P11" s="23" t="n"/>
      <c r="Q11" s="23" t="n"/>
      <c r="R11" s="23" t="n"/>
      <c r="S11" s="23" t="n"/>
      <c r="T11" s="23" t="n"/>
      <c r="U11" s="23">
        <f>IF(R11&lt;&gt;"", R11, O11)</f>
        <v/>
      </c>
    </row>
    <row r="12" ht="64" customHeight="1" s="17">
      <c r="A12" s="23" t="inlineStr">
        <is>
          <t>SPDV-XFER-BR10-NEG-010</t>
        </is>
      </c>
      <c r="B12" s="23" t="inlineStr">
        <is>
          <t>Chuyển đổi Code phí giữa SPDV</t>
        </is>
      </c>
      <c r="C12" s="23" t="inlineStr">
        <is>
          <t>Chuyển đổi Code phí</t>
        </is>
      </c>
      <c r="D12" s="23" t="inlineStr">
        <is>
          <t>Sửa ngày hiệu lực vi phạm logic (end&lt;start/gap/con vượt ngoài cha) bị chặn và sinh OT.01</t>
        </is>
      </c>
      <c r="E12" s="23" t="inlineStr">
        <is>
          <t>Negative</t>
        </is>
      </c>
      <c r="F12" s="23" t="inlineStr">
        <is>
          <t>Regression</t>
        </is>
      </c>
      <c r="G12" s="23" t="inlineStr">
        <is>
          <t>P1</t>
        </is>
      </c>
      <c r="H12" s="23" t="inlineStr">
        <is>
          <t>1. Vai trò: Maker Có bản ghi chuyển đổi ở trạng thái nháp trước xác nhận ngày hiệu lực Tham số kiểm tra hiệu lực bật.</t>
        </is>
      </c>
      <c r="I12" s="23" t="inlineStr">
        <is>
          <t>1. Mở form chỉnh hiệu lực cho yêu cầu (nếu có).
2. Nhập ngày kết thúc &lt; ngày bắt đầu (biến thể 2: tạo khoảng trống hiệu lực; 3: phạm vi con vượt ngoài cha).
3. Nhấn Lưu.</t>
        </is>
      </c>
      <c r="J12" s="23" t="inlineStr">
        <is>
          <t>(i) Bị chặn với thông điệp nêu rõ vi phạm.
(ii) Không tạo version mới; mọi sửa nếu hợp lệ phải đi qua tác vụ OT.01.
(iii) Audit: ghi nhận nỗ lực sửa và lý do chặn.</t>
        </is>
      </c>
      <c r="K12" s="23" t="inlineStr">
        <is>
          <t>I.1.1.1.1</t>
        </is>
      </c>
      <c r="L12" s="23" t="inlineStr">
        <is>
          <t>CTX-OT/Effective</t>
        </is>
      </c>
      <c r="M12" s="23" t="inlineStr">
        <is>
          <t>EFFECTIVE-VALIDATION</t>
        </is>
      </c>
      <c r="N12" s="23" t="n"/>
      <c r="O12" s="23" t="n"/>
      <c r="P12" s="23" t="n"/>
      <c r="Q12" s="23" t="n"/>
      <c r="R12" s="23" t="n"/>
      <c r="S12" s="23" t="n"/>
      <c r="T12" s="23" t="n"/>
      <c r="U12" s="23">
        <f>IF(R12&lt;&gt;"", R12, O12)</f>
        <v/>
      </c>
    </row>
    <row r="13" ht="48" customHeight="1" s="17">
      <c r="A13" s="23" t="inlineStr">
        <is>
          <t>SPDV-XFER-BR10-HAP-011</t>
        </is>
      </c>
      <c r="B13" s="23" t="inlineStr">
        <is>
          <t>Chuyển đổi Code phí giữa SPDV</t>
        </is>
      </c>
      <c r="C13" s="23" t="inlineStr">
        <is>
          <t>Chuyển đổi Code phí</t>
        </is>
      </c>
      <c r="D13" s="23" t="inlineStr">
        <is>
          <t>Sửa ngày hiệu lực hợp lệ – tạo tác vụ OT.01 (không tạo version mới)</t>
        </is>
      </c>
      <c r="E13" s="23" t="inlineStr">
        <is>
          <t>Happy</t>
        </is>
      </c>
      <c r="F13" s="23" t="inlineStr">
        <is>
          <t>Regression</t>
        </is>
      </c>
      <c r="G13" s="23" t="inlineStr">
        <is>
          <t>P2</t>
        </is>
      </c>
      <c r="H13" s="23" t="inlineStr">
        <is>
          <t>1. Vai trò: Maker Bật cơ chế OT=C Một bản ghi chuyển đổi đã tồn tại.</t>
        </is>
      </c>
      <c r="I13" s="23" t="inlineStr">
        <is>
          <t>1. Thực hiện sửa ngày hiệu lực theo quy tắc hợp lệ.
2. Nhấn Lưu.</t>
        </is>
      </c>
      <c r="J13" s="23" t="inlineStr">
        <is>
          <t>(i) Hệ thống chấp nhận; sinh tác vụ OT.01 để Checker duyệt.
(ii) Không tạo version record mới.
(iii) Audit ghi nhận thay đổi hiệu lực và liên kết OT.01.</t>
        </is>
      </c>
      <c r="K13" s="23" t="inlineStr">
        <is>
          <t>I.1.1.1.1</t>
        </is>
      </c>
      <c r="L13" s="23" t="inlineStr">
        <is>
          <t>CTX-OT/Effective</t>
        </is>
      </c>
      <c r="M13" s="23" t="inlineStr">
        <is>
          <t>EFFECTIVE-UPDATE</t>
        </is>
      </c>
      <c r="N13" s="23" t="n"/>
      <c r="O13" s="23" t="n"/>
      <c r="P13" s="23" t="n"/>
      <c r="Q13" s="23" t="n"/>
      <c r="R13" s="23" t="n"/>
      <c r="S13" s="23" t="n"/>
      <c r="T13" s="23" t="n"/>
      <c r="U13" s="23">
        <f>IF(R13&lt;&gt;"", R13, O13)</f>
        <v/>
      </c>
    </row>
    <row r="14" ht="80" customHeight="1" s="17">
      <c r="A14" s="23" t="inlineStr">
        <is>
          <t>SPDV-XFER-UI-01-NAV-001</t>
        </is>
      </c>
      <c r="B14" s="23" t="inlineStr">
        <is>
          <t>Chuyển đổi Code phí giữa SPDV</t>
        </is>
      </c>
      <c r="C14" s="23" t="inlineStr">
        <is>
          <t>Chuyển đổi Code phí</t>
        </is>
      </c>
      <c r="D14" s="23" t="inlineStr">
        <is>
          <t>Mở popup 'Chuyển đổi' từ lưới danh mục SPDV</t>
        </is>
      </c>
      <c r="E14" s="23" t="inlineStr">
        <is>
          <t>Happy</t>
        </is>
      </c>
      <c r="F14" s="23" t="inlineStr">
        <is>
          <t>Smoke</t>
        </is>
      </c>
      <c r="G14" s="23" t="inlineStr">
        <is>
          <t>P1</t>
        </is>
      </c>
      <c r="H14" s="23" t="inlineStr">
        <is>
          <t>1. Vai trò: Maker Đang ở màn hình Danh mục SPDV.</t>
        </is>
      </c>
      <c r="I14" s="23" t="inlineStr">
        <is>
          <t>1. Tích chọn 1 hoặc nhiều dòng.
2. Nhấn nút 'Chuyển đổi' trên toolbar.</t>
        </is>
      </c>
      <c r="J14" s="23" t="inlineStr">
        <is>
          <t>(i) UI: Hiển thị popup chọn cây SPDV mới kèm phần thống kê 'Cây SPDV cũ/ mới'.
(ii) Nút 'Xác nhận' disabled cho đến khi có lựa chọn tối thiểu; nút 'Đóng' luôn khả dụng.
(iii) Không thay đổi dữ liệu cho đến khi xác nhận.</t>
        </is>
      </c>
      <c r="K14" s="23" t="inlineStr">
        <is>
          <t>I.1.1.1.1</t>
        </is>
      </c>
      <c r="L14" s="23" t="n"/>
      <c r="M14" s="23" t="inlineStr">
        <is>
          <t>UI-FUNC.01-NAV</t>
        </is>
      </c>
      <c r="N14" s="23" t="n"/>
      <c r="O14" s="23" t="n"/>
      <c r="P14" s="23" t="n"/>
      <c r="Q14" s="23" t="n"/>
      <c r="R14" s="23" t="n"/>
      <c r="S14" s="23" t="n"/>
      <c r="T14" s="23" t="n"/>
      <c r="U14" s="23">
        <f>IF(R14&lt;&gt;"", R14, O14)</f>
        <v/>
      </c>
    </row>
    <row r="15" ht="80" customHeight="1" s="17">
      <c r="A15" s="23" t="inlineStr">
        <is>
          <t>SPDV-XFER-UI-02-STATE-002</t>
        </is>
      </c>
      <c r="B15" s="23" t="inlineStr">
        <is>
          <t>Chuyển đổi Code phí giữa SPDV</t>
        </is>
      </c>
      <c r="C15" s="23" t="inlineStr">
        <is>
          <t>Chuyển đổi Code phí</t>
        </is>
      </c>
      <c r="D15" s="23" t="inlineStr">
        <is>
          <t>Trạng thái nút 'Xác nhận'/'Đóng' và giữ dữ liệu khi đóng-mở lại</t>
        </is>
      </c>
      <c r="E15" s="23" t="inlineStr">
        <is>
          <t>Boundary</t>
        </is>
      </c>
      <c r="F15" s="23" t="inlineStr">
        <is>
          <t>Regression</t>
        </is>
      </c>
      <c r="G15" s="23" t="inlineStr">
        <is>
          <t>P2</t>
        </is>
      </c>
      <c r="H15" s="23" t="inlineStr">
        <is>
          <t>1. Vai trò: Maker Popup đã mở và đã nhập một số lựa chọn hợp lệ.</t>
        </is>
      </c>
      <c r="I15" s="23" t="inlineStr">
        <is>
          <t>1. Quan sát trạng thái nút khi chưa chọn SPDV mới.
2. Chọn SPDV mới, quan sát nút.
3. Nhấn 'Đóng' để đóng popup.
4. Mở lại popup từ cùng lựa chọn trên lưới.</t>
        </is>
      </c>
      <c r="J15" s="23" t="inlineStr">
        <is>
          <t>(i) UI: 'Xác nhận' disabled khi thiếu dữ liệu tối thiểu, enabled khi đã chọn; 'Đóng' luôn enabled.
(ii) Sau khi đóng và mở lại từ cùng lựa chọn, dữ liệu trên lưới được giữ, nhưng popup reset về trạng thái ban đầu (không mang theo dữ liệu cũ).</t>
        </is>
      </c>
      <c r="K15" s="23" t="inlineStr">
        <is>
          <t>I.1.1.1.1</t>
        </is>
      </c>
      <c r="L15" s="23" t="n"/>
      <c r="M15" s="23" t="inlineStr">
        <is>
          <t>UI-FUNC.02-STATE</t>
        </is>
      </c>
      <c r="N15" s="23" t="n"/>
      <c r="O15" s="23" t="n"/>
      <c r="P15" s="23" t="n"/>
      <c r="Q15" s="23" t="n"/>
      <c r="R15" s="23" t="n"/>
      <c r="S15" s="23" t="n"/>
      <c r="T15" s="23" t="n"/>
      <c r="U15" s="23">
        <f>IF(R15&lt;&gt;"", R15, O15)</f>
        <v/>
      </c>
    </row>
    <row r="16" ht="64" customHeight="1" s="17">
      <c r="A16" s="23" t="inlineStr">
        <is>
          <t>SPDV-XFER-UI-03-GRID-003</t>
        </is>
      </c>
      <c r="B16" s="23" t="inlineStr">
        <is>
          <t>Chuyển đổi Code phí giữa SPDV</t>
        </is>
      </c>
      <c r="C16" s="23" t="inlineStr">
        <is>
          <t>Chuyển đổi Code phí</t>
        </is>
      </c>
      <c r="D16" s="23" t="inlineStr">
        <is>
          <t>Hiển thị trên lưới sau khi tạo yêu cầu (pending vẫn ở SPDV cũ)</t>
        </is>
      </c>
      <c r="E16" s="23" t="inlineStr">
        <is>
          <t>Happy</t>
        </is>
      </c>
      <c r="F16" s="23" t="inlineStr">
        <is>
          <t>Regression</t>
        </is>
      </c>
      <c r="G16" s="23" t="inlineStr">
        <is>
          <t>P2</t>
        </is>
      </c>
      <c r="H16" s="23" t="inlineStr">
        <is>
          <t>1. Vai trò: Maker Vừa tạo yêu cầu thành công.</t>
        </is>
      </c>
      <c r="I16" s="23" t="inlineStr">
        <is>
          <t>1. Quay lại lưới danh mục SPDV cũ.
2. Refresh/Reload trang.
3. Kiểm tra bộ lọc/ô tìm kiếm hiển thị bản ghi.
4. Kiểm tra pagination không mất vị trí.</t>
        </is>
      </c>
      <c r="J16" s="23" t="inlineStr">
        <is>
          <t>(i) UI: Bản ghi vẫn hiển thị dưới SPDV cũ. Tìm kiếm/lọc/pagination hoạt động bình thường.
(ii) Không có duplication dòng.
(iii) Không tự động điều hướng sang cây mới.</t>
        </is>
      </c>
      <c r="K16" s="23" t="inlineStr">
        <is>
          <t>I.1.1.1.1</t>
        </is>
      </c>
      <c r="L16" s="23" t="n"/>
      <c r="M16" s="23" t="inlineStr">
        <is>
          <t>UI-FUNC.03-GRID</t>
        </is>
      </c>
      <c r="N16" s="23" t="n"/>
      <c r="O16" s="23" t="n"/>
      <c r="P16" s="23" t="n"/>
      <c r="Q16" s="23" t="n"/>
      <c r="R16" s="23" t="n"/>
      <c r="S16" s="23" t="n"/>
      <c r="T16" s="23" t="n"/>
      <c r="U16" s="23">
        <f>IF(R16&lt;&gt;"", R16, O16)</f>
        <v/>
      </c>
    </row>
    <row r="17" ht="64" customHeight="1" s="17">
      <c r="A17" s="23" t="inlineStr">
        <is>
          <t>SPDV-XFER-UI-04-TASK-004</t>
        </is>
      </c>
      <c r="B17" s="23" t="inlineStr">
        <is>
          <t>Chuyển đổi Code phí giữa SPDV</t>
        </is>
      </c>
      <c r="C17" s="23" t="inlineStr">
        <is>
          <t>Chuyển đổi Code phí</t>
        </is>
      </c>
      <c r="D17" s="23" t="inlineStr">
        <is>
          <t>Điều hướng tới 'Tác vụ chờ duyệt' từ thông báo thành công</t>
        </is>
      </c>
      <c r="E17" s="23" t="inlineStr">
        <is>
          <t>Happy</t>
        </is>
      </c>
      <c r="F17" s="23" t="inlineStr">
        <is>
          <t>Regression</t>
        </is>
      </c>
      <c r="G17" s="23" t="inlineStr">
        <is>
          <t>P3</t>
        </is>
      </c>
      <c r="H17" s="23" t="inlineStr">
        <is>
          <t>1. Vai trò: Maker Vừa nhận toast thành công.</t>
        </is>
      </c>
      <c r="I17" s="23" t="inlineStr">
        <is>
          <t>1. Nhấn vào link/CTA trên toast (nếu có) hoặc mở menu 'Tác vụ chờ duyệt'.
2. Quan sát danh sách.</t>
        </is>
      </c>
      <c r="J17" s="23" t="inlineStr">
        <is>
          <t>(i) UI: Điều hướng đúng module 'Tác vụ chờ duyệt'.
(ii) Bản ghi mới ở đầu danh sách theo thời gian tạo; có thể mở chi tiết từ đây.
(iii) Không cần kiểm lại logic trạng thái.</t>
        </is>
      </c>
      <c r="K17" s="23" t="inlineStr">
        <is>
          <t>I.1.1.1.1</t>
        </is>
      </c>
      <c r="L17" s="23" t="n"/>
      <c r="M17" s="23" t="inlineStr">
        <is>
          <t>UI-FUNC.04-NAV-TASK</t>
        </is>
      </c>
      <c r="N17" s="23" t="n"/>
      <c r="O17" s="23" t="n"/>
      <c r="P17" s="23" t="n"/>
      <c r="Q17" s="23" t="n"/>
      <c r="R17" s="23" t="n"/>
      <c r="S17" s="23" t="n"/>
      <c r="T17" s="23" t="n"/>
      <c r="U17" s="23">
        <f>IF(R17&lt;&gt;"", R17, O17)</f>
        <v/>
      </c>
    </row>
    <row r="18" ht="80" customHeight="1" s="17">
      <c r="A18" s="23" t="inlineStr">
        <is>
          <t>SPDV-XFER-UI-05-LIST-005</t>
        </is>
      </c>
      <c r="B18" s="23" t="inlineStr">
        <is>
          <t>Chuyển đổi Code phí giữa SPDV</t>
        </is>
      </c>
      <c r="C18" s="23" t="inlineStr">
        <is>
          <t>Chuyển đổi Code phí</t>
        </is>
      </c>
      <c r="D18" s="23" t="inlineStr">
        <is>
          <t>Pagination &amp; tải xuống danh sách SPDV (không ảnh hưởng dữ liệu)</t>
        </is>
      </c>
      <c r="E18" s="23" t="inlineStr">
        <is>
          <t>Boundary</t>
        </is>
      </c>
      <c r="F18" s="23" t="inlineStr">
        <is>
          <t>Regression</t>
        </is>
      </c>
      <c r="G18" s="23" t="inlineStr">
        <is>
          <t>P3</t>
        </is>
      </c>
      <c r="H18" s="23" t="inlineStr">
        <is>
          <t>1. Vai trò: Maker Danh sách có &gt; 100 dòng.</t>
        </is>
      </c>
      <c r="I18" s="23" t="inlineStr">
        <is>
          <t>1. Đổi kích thước trang (10/50/100).
2. Chuyển trang trước/sau.
3. Xuất file (CSV/Excel) nếu có.
4. Mở lại popup từ dòng đang ở trang khác.</t>
        </is>
      </c>
      <c r="J18" s="23" t="inlineStr">
        <is>
          <t>(i) UI: Phân trang hoạt động mượt, giữ vị trí khi quay lại.
(ii) File xuất tải xuống thành công, mã hóa UTF-8, tiêu đề cột đúng.
(iii) Không làm mất lựa chọn trên lưới khi thay đổi trang (nếu hệ thống hỗ trợ).</t>
        </is>
      </c>
      <c r="K18" s="23" t="inlineStr">
        <is>
          <t>I.1.1.1.1</t>
        </is>
      </c>
      <c r="L18" s="23" t="n"/>
      <c r="M18" s="23" t="inlineStr">
        <is>
          <t>UI-FUNC.05-PAGING-EXPORT</t>
        </is>
      </c>
      <c r="N18" s="23" t="n"/>
      <c r="O18" s="23" t="n"/>
      <c r="P18" s="23" t="n"/>
      <c r="Q18" s="23" t="n"/>
      <c r="R18" s="23" t="n"/>
      <c r="S18" s="23" t="n"/>
      <c r="T18" s="23" t="n"/>
      <c r="U18" s="23">
        <f>IF(R18&lt;&gt;"", R18, O18)</f>
        <v/>
      </c>
    </row>
    <row r="19" ht="80" customHeight="1" s="17">
      <c r="A19" s="23" t="inlineStr">
        <is>
          <t>SPDV-XFER-FLOW-HAP-001</t>
        </is>
      </c>
      <c r="B19" s="23" t="inlineStr">
        <is>
          <t>Chuyển đổi Code phí giữa SPDV</t>
        </is>
      </c>
      <c r="C19" s="23" t="inlineStr">
        <is>
          <t>Chuyển đổi Code phí</t>
        </is>
      </c>
      <c r="D19" s="23" t="inlineStr">
        <is>
          <t>E2E: Maker chuyển đổi nhóm code phí → tạo OT.01 → Checker phê duyệt</t>
        </is>
      </c>
      <c r="E19" s="23" t="inlineStr">
        <is>
          <t>Integration</t>
        </is>
      </c>
      <c r="F19" s="23" t="inlineStr">
        <is>
          <t>Smoke</t>
        </is>
      </c>
      <c r="G19" s="23" t="inlineStr">
        <is>
          <t>P1</t>
        </is>
      </c>
      <c r="H19" s="23" t="inlineStr">
        <is>
          <t>1. Vai trò: Maker &amp; Checker Có nhóm code phí cùng SPDV cấp cuối A SPDV mới B hợp lệ Quy trình OT 01 hoạt động.</t>
        </is>
      </c>
      <c r="I19" s="23" t="inlineStr">
        <is>
          <t>1. Maker chọn nhóm và tạo yêu cầu chuyển A→B.
2. Mở 'Tác vụ chờ duyệt'.
3. Checker đăng nhập, mở tác vụ OT.01, kiểm tra diff và Phê duyệt.
4. Quay lại danh sách SPDV cũ &amp; mới để xác nhận hiển thị.</t>
        </is>
      </c>
      <c r="J19" s="23" t="inlineStr">
        <is>
          <t>(i) Sau phê duyệt: code phí được gắn sang SPDV B; không còn ở A.
(ii) UI: lưới cây B hiển thị bản ghi; cây A không còn.
(iii) Audit: có log Maker/Checker, thời gian, nội dung diff.
(iv) Versioning: cập nhật in-place, không tạo version record mới.</t>
        </is>
      </c>
      <c r="K19" s="23" t="inlineStr">
        <is>
          <t>I.1.1.1.1</t>
        </is>
      </c>
      <c r="L19" s="23" t="inlineStr">
        <is>
          <t>End-to-End</t>
        </is>
      </c>
      <c r="M19" s="23" t="inlineStr">
        <is>
          <t>FLOW-APPROVAL</t>
        </is>
      </c>
      <c r="N19" s="23" t="n"/>
      <c r="O19" s="23" t="n"/>
      <c r="P19" s="23" t="n"/>
      <c r="Q19" s="23" t="n"/>
      <c r="R19" s="23" t="n"/>
      <c r="S19" s="23" t="n"/>
      <c r="T19" s="23" t="n"/>
      <c r="U19" s="23">
        <f>IF(R19&lt;&gt;"", R19, O19)</f>
        <v/>
      </c>
    </row>
    <row r="20" ht="80" customHeight="1" s="17">
      <c r="A20" s="23" t="inlineStr">
        <is>
          <t>SPDV-XFER-FLOW-NEG-002</t>
        </is>
      </c>
      <c r="B20" s="23" t="inlineStr">
        <is>
          <t>Chuyển đổi Code phí giữa SPDV</t>
        </is>
      </c>
      <c r="C20" s="23" t="inlineStr">
        <is>
          <t>Chuyển đổi Code phí</t>
        </is>
      </c>
      <c r="D20" s="23" t="inlineStr">
        <is>
          <t>E2E: Checker Từ chối → dữ liệu giữ nguyên ở SPDV cũ</t>
        </is>
      </c>
      <c r="E20" s="23" t="inlineStr">
        <is>
          <t>Negative</t>
        </is>
      </c>
      <c r="F20" s="23" t="inlineStr">
        <is>
          <t>Regression</t>
        </is>
      </c>
      <c r="G20" s="23" t="inlineStr">
        <is>
          <t>P2</t>
        </is>
      </c>
      <c r="H20" s="23" t="inlineStr">
        <is>
          <t>1. Vai trò: Maker &amp; Checker Có một yêu cầu đang 'Chờ duyệt'.</t>
        </is>
      </c>
      <c r="I20" s="23" t="inlineStr">
        <is>
          <t>1. Checker mở tác vụ OT.01.
2. Từ chối với lý do.
3. Maker kiểm tra lại danh sách SPDV cũ &amp; mới.</t>
        </is>
      </c>
      <c r="J20" s="23" t="inlineStr">
        <is>
          <t>(i) Nghiệp vụ: Yêu cầu chuyển đổi bị từ chối, trạng thái kết thúc phù hợp.
(ii) UI: Code phí vẫn hiển thị ở SPDV cũ; không xuất hiện ở SPDV mới.
(iii) Audit: lưu lý do từ chối; thông báo tới Maker (nếu có).</t>
        </is>
      </c>
      <c r="K20" s="23" t="inlineStr">
        <is>
          <t>I.1.1.1.1</t>
        </is>
      </c>
      <c r="L20" s="23" t="inlineStr">
        <is>
          <t>End-to-End</t>
        </is>
      </c>
      <c r="M20" s="23" t="inlineStr">
        <is>
          <t>FLOW-REJECT</t>
        </is>
      </c>
      <c r="N20" s="23" t="n"/>
      <c r="O20" s="23" t="n"/>
      <c r="P20" s="23" t="n"/>
      <c r="Q20" s="23" t="n"/>
      <c r="R20" s="23" t="n"/>
      <c r="S20" s="23" t="n"/>
      <c r="T20" s="23" t="n"/>
      <c r="U20" s="23">
        <f>IF(R20&lt;&gt;"", R20, O20)</f>
        <v/>
      </c>
    </row>
    <row r="21" ht="15.75" customHeight="1" s="17">
      <c r="A21" s="23" t="inlineStr">
        <is>
          <t>SPDV-XFER-FLOW-BND-003</t>
        </is>
      </c>
      <c r="B21" s="23" t="inlineStr">
        <is>
          <t>Chuyển đổi Code phí giữa SPDV</t>
        </is>
      </c>
      <c r="C21" s="23" t="inlineStr">
        <is>
          <t>Chuyển đổi Code phí</t>
        </is>
      </c>
      <c r="D21" s="23" t="inlineStr">
        <is>
          <t>E2E Boundary: Chuyển số lượng lớn (N≈500/1000) trong 1 nhóm</t>
        </is>
      </c>
      <c r="E21" s="23" t="inlineStr">
        <is>
          <t>Boundary</t>
        </is>
      </c>
      <c r="F21" s="23" t="inlineStr">
        <is>
          <t>Regression</t>
        </is>
      </c>
      <c r="G21" s="23" t="inlineStr">
        <is>
          <t>P2</t>
        </is>
      </c>
      <c r="H21" s="23" t="inlineStr">
        <is>
          <t>1. Vai trò: Maker &amp; Checker Data có nhóm lớn thuộc cùng 1 SPDV cấp cuối A Tham số giới hạn kích cỡ lô = M (nếu có).</t>
        </is>
      </c>
      <c r="I21" s="23" t="inlineStr">
        <is>
          <t>1. Maker chọn N code phí trong cùng nhóm A (biến thể: 100/500/1000).
2. Tạo yêu cầu A→B.
3. Checker phê duyệt.
4. Theo dõi thời gian xử lý &amp; thông báo.</t>
        </is>
      </c>
      <c r="J21" s="23" t="inlineStr">
        <is>
          <t>(i) Hệ thống xử lý trong ngưỡng hiệu năng kỳ vọng hoặc phân lô theo thiết kế; không lỗi timeout.
(ii) Kết quả đúng tại cây B; audit ghi nhận đầy đủ.
(iii) Không tạo phiên bản mới, mọi cập nhật qua OT.01.</t>
        </is>
      </c>
      <c r="K21" s="23" t="inlineStr">
        <is>
          <t>I.1.1.1.1</t>
        </is>
      </c>
      <c r="L21" s="23" t="inlineStr">
        <is>
          <t>End-to-End</t>
        </is>
      </c>
      <c r="M21" s="23" t="inlineStr">
        <is>
          <t>FLOW-LARGE-BATCH</t>
        </is>
      </c>
      <c r="N21" s="23" t="n"/>
      <c r="O21" s="23" t="n"/>
      <c r="P21" s="23" t="n"/>
      <c r="Q21" s="23" t="n"/>
      <c r="R21" s="23" t="n"/>
      <c r="S21" s="23" t="n"/>
      <c r="T21" s="23" t="n"/>
      <c r="U21" s="23">
        <f>IF(R21&lt;&gt;"", R21, O21)</f>
        <v/>
      </c>
    </row>
    <row r="22" ht="15.75" customHeight="1" s="17">
      <c r="A22" s="23" t="inlineStr">
        <is>
          <t>SPDV-XFER-BR07-NEG-009</t>
        </is>
      </c>
      <c r="B22" s="23" t="inlineStr">
        <is>
          <t>Chuyển đổi Code phí giữa SPDV</t>
        </is>
      </c>
      <c r="C22" s="23" t="inlineStr">
        <is>
          <t>Chuyển đổi Code phí</t>
        </is>
      </c>
      <c r="D22" s="23" t="inlineStr">
        <is>
          <t>Chặn chuyển đổi nếu SPDV mới không tương thích (Loại KH/Loại tính phí)</t>
        </is>
      </c>
      <c r="E22" s="23" t="inlineStr">
        <is>
          <t>Negative</t>
        </is>
      </c>
      <c r="F22" s="23" t="inlineStr">
        <is>
          <t>Regression</t>
        </is>
      </c>
      <c r="G22" s="23" t="inlineStr">
        <is>
          <t>P1</t>
        </is>
      </c>
      <c r="H22" s="23" t="inlineStr">
        <is>
          <t>1. Code phí đang chuyển là 'Định kỳ' cho 'KHCN' SPDV mới hỗ trợ 'Theo giao dịch' cho 'KHDN'.</t>
        </is>
      </c>
      <c r="I22" s="23" t="inlineStr">
        <is>
          <t>1. Chọn nhóm code phí để chuyển.
2. Chọn SPDV mới không khớp thuộc tính.
3. Nhấn 'Xác nhận'.</t>
        </is>
      </c>
      <c r="J22" s="23" t="inlineStr">
        <is>
          <t>(i) Hệ thống tự động validate và chặn lưu.
(ii) Hiển thị thông báo lỗi: 'SPDV mới không tương thích với bối cảnh của Code phí'.
(iii) Không sinh tác vụ chuyển đổi.</t>
        </is>
      </c>
      <c r="K22" s="23" t="inlineStr">
        <is>
          <t>II.5.1.1.6</t>
        </is>
      </c>
      <c r="L22" s="23" t="inlineStr">
        <is>
          <t>BR_07</t>
        </is>
      </c>
      <c r="M22" s="23" t="inlineStr">
        <is>
          <t>COMPATIBILITY-CHECK</t>
        </is>
      </c>
      <c r="N22" s="23" t="inlineStr">
        <is>
          <t>Added after QA Review</t>
        </is>
      </c>
      <c r="O22" s="23" t="n"/>
      <c r="P22" s="23" t="n"/>
      <c r="Q22" s="23" t="n"/>
      <c r="R22" s="23" t="n"/>
      <c r="S22" s="23" t="n"/>
      <c r="T22" s="23" t="n"/>
      <c r="U22" s="23">
        <f>IF(R22&lt;&gt;"", R22, O22)</f>
        <v/>
      </c>
    </row>
    <row r="23" ht="15.75" customHeight="1" s="17">
      <c r="A23" s="23" t="inlineStr">
        <is>
          <t>SPDV-XFER-DATA-INTEGRITY</t>
        </is>
      </c>
      <c r="B23" s="23" t="inlineStr">
        <is>
          <t>Chuyển đổi Code phí giữa SPDV</t>
        </is>
      </c>
      <c r="C23" s="23" t="inlineStr">
        <is>
          <t>Chuyển đổi Code phí</t>
        </is>
      </c>
      <c r="D23" s="23" t="inlineStr">
        <is>
          <t>Kiểm tra toàn vẹn dữ liệu sau khi chuyển sang SPDV mới</t>
        </is>
      </c>
      <c r="E23" s="23" t="inlineStr">
        <is>
          <t>Happy</t>
        </is>
      </c>
      <c r="F23" s="23" t="inlineStr">
        <is>
          <t>Regression</t>
        </is>
      </c>
      <c r="G23" s="23" t="inlineStr">
        <is>
          <t>P1</t>
        </is>
      </c>
      <c r="H23" s="23" t="inlineStr">
        <is>
          <t>1. Vừa phê duyệt chuyển đổi nhóm Code phí từ SPDV A sang B.</t>
        </is>
      </c>
      <c r="I23" s="23" t="inlineStr">
        <is>
          <t>1. Vào chi tiết SPDV B -&gt; Tìm Code phí vừa chuyển.
2. Mở chi tiết từng tab: Thông tin chung, Điều kiện, Quy tắc tính phí.
3. Đối soát với dữ liệu gốc tại Audit log.</t>
        </is>
      </c>
      <c r="J23" s="23" t="inlineStr">
        <is>
          <t>(i) Toàn bộ mức phí, %VAT, Segment (nếu có) được giữ nguyên 100%.
(ii) Các tham số điều kiện tính phí không bị mất hoặc sai lệch.
(iii) Hệ thống hiển thị đúng cấu trúc tại SPDV mới.</t>
        </is>
      </c>
      <c r="K23" s="23" t="inlineStr">
        <is>
          <t>II.5.1.1.6</t>
        </is>
      </c>
      <c r="L23" s="23" t="inlineStr">
        <is>
          <t>Functional</t>
        </is>
      </c>
      <c r="M23" s="23" t="inlineStr">
        <is>
          <t>XFER-DATA-INTEGRITY</t>
        </is>
      </c>
      <c r="N23" s="23" t="inlineStr">
        <is>
          <t>Added after QA Review</t>
        </is>
      </c>
      <c r="O23" s="23" t="n"/>
      <c r="P23" s="23" t="n"/>
      <c r="Q23" s="23" t="n"/>
      <c r="R23" s="23" t="n"/>
      <c r="S23" s="23" t="n"/>
      <c r="T23" s="23" t="n"/>
      <c r="U23" s="23">
        <f>IF(R23&lt;&gt;"", R23, O23)</f>
        <v/>
      </c>
    </row>
    <row r="24" ht="15.75" customHeight="1" s="17">
      <c r="A24" s="23" t="inlineStr">
        <is>
          <t>SPDV-XFER-SEC-01-ROLE</t>
        </is>
      </c>
      <c r="B24" s="23" t="inlineStr">
        <is>
          <t>Chuyển đổi Code phí giữa SPDV</t>
        </is>
      </c>
      <c r="C24" s="23" t="inlineStr">
        <is>
          <t>Chuyển đổi Code phí</t>
        </is>
      </c>
      <c r="D24" s="23" t="inlineStr">
        <is>
          <t>Phân quyền: Checker/Viewer không được phép nhấn 'Chuyển đổi'</t>
        </is>
      </c>
      <c r="E24" s="23" t="inlineStr">
        <is>
          <t>Security</t>
        </is>
      </c>
      <c r="F24" s="23" t="inlineStr">
        <is>
          <t>Regression</t>
        </is>
      </c>
      <c r="G24" s="23" t="inlineStr">
        <is>
          <t>P2</t>
        </is>
      </c>
      <c r="H24" s="23" t="inlineStr">
        <is>
          <t>1. Đăng nhập vai trò Checker/Viewer Đang ở màn hình Danh mục SPDV.</t>
        </is>
      </c>
      <c r="I24" s="23" t="inlineStr">
        <is>
          <t>1. Tích chọn dòng Code phí.
2. Quan sát nút 'Chuyển đổi' trên Toolbar.</t>
        </is>
      </c>
      <c r="J24" s="23" t="inlineStr">
        <is>
          <t>(i) Nút 'Chuyển đổi' bị ẩn hoặc mờ (Disabled).
(ii) Khi click chuột vào không có phản ứng hoặc báo lỗi không có quyền.</t>
        </is>
      </c>
      <c r="K24" s="23" t="inlineStr">
        <is>
          <t>II.5.1.1.6</t>
        </is>
      </c>
      <c r="L24" s="23" t="inlineStr">
        <is>
          <t>Functional</t>
        </is>
      </c>
      <c r="M24" s="23" t="inlineStr">
        <is>
          <t>XFER-ROLE-BLOCK</t>
        </is>
      </c>
      <c r="N24" s="23" t="inlineStr">
        <is>
          <t>Added after QA Review</t>
        </is>
      </c>
      <c r="O24" s="23" t="n"/>
      <c r="P24" s="23" t="n"/>
      <c r="Q24" s="23" t="n"/>
      <c r="R24" s="23" t="n"/>
      <c r="S24" s="23" t="n"/>
      <c r="T24" s="23" t="n"/>
      <c r="U24" s="23">
        <f>IF(R24&lt;&gt;"", R24, O24)</f>
        <v/>
      </c>
    </row>
    <row r="25" ht="15.75" customHeight="1" s="17">
      <c r="A25" s="23" t="inlineStr">
        <is>
          <t>SPDV-XFER-STATE-NEG-01</t>
        </is>
      </c>
      <c r="B25" s="23" t="inlineStr">
        <is>
          <t>Chuyển đổi Code phí giữa SPDV</t>
        </is>
      </c>
      <c r="C25" s="23" t="inlineStr">
        <is>
          <t>Chuyển đổi Code phí</t>
        </is>
      </c>
      <c r="D25" s="23" t="inlineStr">
        <is>
          <t>Chặn chuyển đổi vào SPDV đích đang Pending hoặc Inactive</t>
        </is>
      </c>
      <c r="E25" s="23" t="inlineStr">
        <is>
          <t>Negative</t>
        </is>
      </c>
      <c r="F25" s="23" t="inlineStr">
        <is>
          <t>Regression</t>
        </is>
      </c>
      <c r="G25" s="23" t="inlineStr">
        <is>
          <t>P1</t>
        </is>
      </c>
      <c r="H25" s="23" t="inlineStr">
        <is>
          <t>1. SPDV B đang ở trạng thái 'Chờ duyệt' (Pending) hoặc 'Đã đóng'.</t>
        </is>
      </c>
      <c r="I25" s="23" t="inlineStr">
        <is>
          <t>1. Chọn code phí cần chuyển.
2. Tại popup, tìm chọn SPDV B.
3. Nhấn 'Xác nhận'.</t>
        </is>
      </c>
      <c r="J25" s="23" t="inlineStr">
        <is>
          <t>(i) Popup không hiển thị SPDV B trong danh sách tìm kiếm hoặc hiển thị nhưng báo lỗi khi chọn.
(ii) Chặn hoàn toàn việc chuyển đổi vào SPDV chưa có hiệu lực chính thức.</t>
        </is>
      </c>
      <c r="K25" s="23" t="inlineStr">
        <is>
          <t>II.5.1.1.6</t>
        </is>
      </c>
      <c r="L25" s="23" t="inlineStr">
        <is>
          <t>Functional</t>
        </is>
      </c>
      <c r="M25" s="23" t="inlineStr">
        <is>
          <t>XFER-TARGET-STATE-INVALID</t>
        </is>
      </c>
      <c r="N25" s="23" t="inlineStr">
        <is>
          <t>Added after QA Review</t>
        </is>
      </c>
      <c r="O25" s="23" t="n"/>
      <c r="P25" s="23" t="n"/>
      <c r="Q25" s="23" t="n"/>
      <c r="R25" s="23" t="n"/>
      <c r="S25" s="23" t="n"/>
      <c r="T25" s="23" t="n"/>
      <c r="U25" s="23">
        <f>IF(R25&lt;&gt;"", R25, O25)</f>
        <v/>
      </c>
    </row>
    <row r="26" ht="15.75" customHeight="1" s="17">
      <c r="A26" s="23" t="inlineStr">
        <is>
          <t>PR01-CD-BR05-NEW-001</t>
        </is>
      </c>
      <c r="B26" s="23" t="inlineStr">
        <is>
          <t>PR01</t>
        </is>
      </c>
      <c r="C26" s="23" t="inlineStr">
        <is>
          <t>Chuyển đổi Code phí</t>
        </is>
      </c>
      <c r="D26" s="23" t="inlineStr">
        <is>
          <t>[v0.9-NEW] Chuyển nhiều code phí (≥2) cùng lúc từ 1 SPDV sang SPDV khác</t>
        </is>
      </c>
      <c r="E26" s="23" t="inlineStr">
        <is>
          <t>Happy</t>
        </is>
      </c>
      <c r="F26" s="23" t="inlineStr">
        <is>
          <t>Smoke</t>
        </is>
      </c>
      <c r="G26" s="23" t="inlineStr">
        <is>
          <t>P1</t>
        </is>
      </c>
      <c r="H26" s="23" t="inlineStr">
        <is>
          <t>Có ≥2 code phí thuộc cùng 1 SPDV cấp cuối, Biểu phí nguồn ở trạng thái 'Hết hiệu lực'.</t>
        </is>
      </c>
      <c r="I26" s="23" t="inlineStr">
        <is>
          <t>1. Chọn ≥2 code phí từ cùng SPDV cấp cuối.
2. Chọn SPDV cấp cuối đích (khác SPDV nguồn).
3. Nhấn 'Xác nhận'.
4. Checker phê duyệt.</t>
        </is>
      </c>
      <c r="J26" s="23" t="inlineStr">
        <is>
          <t>(i) Logic: Hệ thống cho phép chọn nhiều code phí (không giới hạn 1 nhóm) thuộc cùng 1 SPDV cấp cuối cũ.
(ii) Sau duyệt: Tất cả các code phí đã chọn xuất hiện đúng tại SPDV cấp cuối mới.
(iii) SPDV cấp cuối cũ không còn chứa các code phí vừa chuyển.</t>
        </is>
      </c>
      <c r="K26" s="23" t="inlineStr">
        <is>
          <t>II.5.1.1 – BR_05</t>
        </is>
      </c>
      <c r="L26" s="23" t="inlineStr">
        <is>
          <t>BR_05</t>
        </is>
      </c>
      <c r="M26" s="23" t="inlineStr">
        <is>
          <t>BR05-MULTI-NEW-001</t>
        </is>
      </c>
      <c r="N26" s="23" t="inlineStr">
        <is>
          <t>[v0.9-NEW] BR_05 đổi từ 'một nhóm' → 'nhiều code phí'</t>
        </is>
      </c>
      <c r="O26" s="23" t="n"/>
      <c r="P26" s="23" t="n"/>
      <c r="Q26" s="23" t="n"/>
      <c r="R26" s="23" t="n"/>
      <c r="S26" s="23" t="n"/>
      <c r="T26" s="23" t="n"/>
      <c r="U26" s="23" t="n"/>
    </row>
    <row r="27" ht="15.75" customHeight="1" s="17">
      <c r="A27" s="23" t="inlineStr">
        <is>
          <t>PR01-CD-BR05-NEG-NEW-001</t>
        </is>
      </c>
      <c r="B27" s="23" t="inlineStr">
        <is>
          <t>PR01</t>
        </is>
      </c>
      <c r="C27" s="23" t="inlineStr">
        <is>
          <t>Chuyển đổi Code phí</t>
        </is>
      </c>
      <c r="D27" s="23" t="inlineStr">
        <is>
          <t>[v0.9-NEW] Chuyển code phí từ 2 SPDV cấp cuối khác nhau → hệ thống chặn</t>
        </is>
      </c>
      <c r="E27" s="23" t="inlineStr">
        <is>
          <t>Negative</t>
        </is>
      </c>
      <c r="F27" s="23" t="inlineStr">
        <is>
          <t>Regression</t>
        </is>
      </c>
      <c r="G27" s="23" t="inlineStr">
        <is>
          <t>P1</t>
        </is>
      </c>
      <c r="H27" s="23" t="inlineStr">
        <is>
          <t>Có code phí A thuộc SPDV1, code phí B thuộc SPDV2.</t>
        </is>
      </c>
      <c r="I27" s="23" t="inlineStr">
        <is>
          <t>1. Chọn code phí A (SPDV1) và code phí B (SPDV2) cùng lúc.
2. Nhấn 'Xác nhận'.</t>
        </is>
      </c>
      <c r="J27" s="23" t="inlineStr">
        <is>
          <t>(i) Logic: Hệ thống chặn – báo lỗi 'Chỉ được chọn code phí thuộc cùng 1 SPDV cấp cuối'.
(ii) UI: Hiển thị thông báo lỗi rõ ràng.
(iii) Không tạo bản ghi chuyển đổi.</t>
        </is>
      </c>
      <c r="K27" s="23" t="inlineStr">
        <is>
          <t>II.5.1.1 – BR_05</t>
        </is>
      </c>
      <c r="L27" s="23" t="inlineStr">
        <is>
          <t>BR_05</t>
        </is>
      </c>
      <c r="M27" s="23" t="inlineStr">
        <is>
          <t>BR05-NEG-DIFF-SPDV-001</t>
        </is>
      </c>
      <c r="N27" s="23" t="inlineStr">
        <is>
          <t>[v0.9-NEW] Negative case: code phí từ 2 SPDV khác nhau</t>
        </is>
      </c>
      <c r="O27" s="23" t="n"/>
      <c r="P27" s="23" t="n"/>
      <c r="Q27" s="23" t="n"/>
      <c r="R27" s="23" t="n"/>
      <c r="S27" s="23" t="n"/>
      <c r="T27" s="23" t="n"/>
      <c r="U27" s="23" t="n"/>
    </row>
    <row r="28" ht="15.75" customHeight="1" s="17"/>
    <row r="29" ht="15.75" customHeight="1" s="17"/>
    <row r="30" ht="15.75" customHeight="1" s="17"/>
    <row r="31" ht="15.75" customHeight="1" s="17"/>
    <row r="32" ht="15.75" customHeight="1" s="17"/>
    <row r="33" ht="15.75" customHeight="1" s="17"/>
    <row r="34" ht="15.75" customHeight="1" s="17"/>
    <row r="35" ht="15.75" customHeight="1" s="17"/>
    <row r="36" ht="15.75" customHeight="1" s="17"/>
    <row r="37" ht="15.75" customHeight="1" s="17"/>
    <row r="38" ht="15.75" customHeight="1" s="17"/>
    <row r="39" ht="15.75" customHeight="1" s="17"/>
    <row r="40" ht="15.75" customHeight="1" s="17"/>
    <row r="41" ht="15.75" customHeight="1" s="17"/>
    <row r="42" ht="15.75" customHeight="1" s="17"/>
    <row r="43" ht="15.75" customHeight="1" s="17"/>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1">
    <mergeCell ref="A1:U1"/>
  </mergeCells>
  <conditionalFormatting sqref="U3:U1000">
    <cfRule type="cellIs" priority="1" operator="equal" dxfId="1">
      <formula>"Pass"</formula>
    </cfRule>
    <cfRule type="cellIs" priority="2" operator="equal" dxfId="0">
      <formula>"Fail"</formula>
    </cfRule>
  </conditionalFormatting>
  <dataValidations count="2">
    <dataValidation sqref="O3:O33 R3:R33" showDropDown="0" showInputMessage="0" showErrorMessage="0" allowBlank="1" type="list">
      <formula1>"Pass,Fail,Doing,Blocked,N/A"</formula1>
    </dataValidation>
    <dataValidation sqref="P3:P33 S3:S33" showDropDown="0" showInputMessage="0" showErrorMessage="0" allowBlank="1" type="list">
      <formula1>"Định,Thanh,Vân Anh,Hiệp"</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U73"/>
  <sheetViews>
    <sheetView tabSelected="1" workbookViewId="0">
      <pane ySplit="2" topLeftCell="A3" activePane="bottomLeft" state="frozen"/>
      <selection pane="bottomLeft" activeCell="D4" sqref="D4"/>
    </sheetView>
  </sheetViews>
  <sheetFormatPr baseColWidth="10" defaultColWidth="14.5" defaultRowHeight="15" customHeight="1"/>
  <cols>
    <col width="14" customWidth="1" style="17" min="1" max="1"/>
    <col width="8" customWidth="1" style="17" min="2" max="2"/>
    <col width="22" customWidth="1" style="17" min="3" max="3"/>
    <col width="38" customWidth="1" style="17" min="4" max="4"/>
    <col hidden="1" width="12" customWidth="1" style="17" min="5" max="7"/>
    <col width="12" customWidth="1" style="17" min="6" max="6"/>
    <col width="9" customWidth="1" style="17" min="7" max="7"/>
    <col width="32" customWidth="1" style="17" min="8" max="10"/>
    <col width="42" customWidth="1" style="17" min="9" max="9"/>
    <col width="52" customWidth="1" style="17" min="10" max="10"/>
    <col width="22" customWidth="1" style="17" min="11" max="12"/>
    <col width="14" customWidth="1" style="17" min="12" max="12"/>
    <col width="14" customWidth="1" style="17" min="13" max="13"/>
    <col width="22" customWidth="1" style="17" min="14" max="14"/>
    <col width="12" customWidth="1" style="17" min="15" max="21"/>
    <col width="12" customWidth="1" style="17" min="16" max="16"/>
    <col width="12" customWidth="1" style="17" min="17" max="17"/>
    <col width="12" customWidth="1" style="17" min="18" max="18"/>
    <col width="12" customWidth="1" style="17" min="19" max="19"/>
    <col width="12" customWidth="1" style="17" min="20" max="20"/>
    <col width="12" customWidth="1" style="17" min="21" max="21"/>
    <col width="8.6640625" customWidth="1" style="17" min="22" max="26"/>
  </cols>
  <sheetData>
    <row r="1" ht="17" customHeight="1" s="17">
      <c r="A1" s="21" t="inlineStr">
        <is>
          <t>TEST CASES — II.5.1.2.  PR.02- Công thức tính phí</t>
        </is>
      </c>
    </row>
    <row r="2" ht="16" customHeight="1" s="17">
      <c r="A2" s="1" t="inlineStr">
        <is>
          <t>TC_ID</t>
        </is>
      </c>
      <c r="B2" s="1" t="inlineStr">
        <is>
          <t>Module</t>
        </is>
      </c>
      <c r="C2" s="1" t="inlineStr">
        <is>
          <t>Feature</t>
        </is>
      </c>
      <c r="D2" s="1" t="inlineStr">
        <is>
          <t>Title</t>
        </is>
      </c>
      <c r="E2" s="1" t="inlineStr">
        <is>
          <t>Type</t>
        </is>
      </c>
      <c r="F2" s="1" t="inlineStr">
        <is>
          <t>Category</t>
        </is>
      </c>
      <c r="G2" s="1" t="inlineStr">
        <is>
          <t>Priority</t>
        </is>
      </c>
      <c r="H2" s="1" t="inlineStr">
        <is>
          <t>Precondition</t>
        </is>
      </c>
      <c r="I2" s="1" t="inlineStr">
        <is>
          <t>Steps</t>
        </is>
      </c>
      <c r="J2" s="1" t="inlineStr">
        <is>
          <t>(i) Nghiệp vụ/Logic: Title thành công theo quy trình của [BR_Ref].
(ii) Dữ liệu: Ghi nhận thông tin vào Database chính xác, đầy đủ các trường.
(iii) Trạng thái: Bản ghi được chuyển sang 'Chờ duyệt'.</t>
        </is>
      </c>
      <c r="K2" s="1" t="inlineStr">
        <is>
          <t>URD_Ref</t>
        </is>
      </c>
      <c r="L2" s="1" t="inlineStr">
        <is>
          <t>BR_Ref</t>
        </is>
      </c>
      <c r="M2" s="1" t="inlineStr">
        <is>
          <t>Trace_ID</t>
        </is>
      </c>
      <c r="N2" s="1" t="inlineStr">
        <is>
          <t>Note</t>
        </is>
      </c>
      <c r="O2" s="1" t="inlineStr">
        <is>
          <t>Status R1</t>
        </is>
      </c>
      <c r="P2" s="1" t="inlineStr">
        <is>
          <t>Tester R1</t>
        </is>
      </c>
      <c r="Q2" s="1" t="inlineStr">
        <is>
          <t>Date R1</t>
        </is>
      </c>
      <c r="R2" s="1" t="inlineStr">
        <is>
          <t>Status R2</t>
        </is>
      </c>
      <c r="S2" s="1" t="inlineStr">
        <is>
          <t>Tester R2</t>
        </is>
      </c>
      <c r="T2" s="1" t="inlineStr">
        <is>
          <t>Date R2</t>
        </is>
      </c>
      <c r="U2" s="1" t="inlineStr">
        <is>
          <t>Final Status</t>
        </is>
      </c>
    </row>
    <row r="3" ht="64" customHeight="1" s="17">
      <c r="A3" s="23" t="inlineStr">
        <is>
          <t>PR02-BR_01-HAP-001</t>
        </is>
      </c>
      <c r="B3" s="23" t="inlineStr">
        <is>
          <t>PR.02</t>
        </is>
      </c>
      <c r="C3" s="23" t="inlineStr">
        <is>
          <t>BR-based: Bắt buộc trường (*) trước khi 'Xác nhận'</t>
        </is>
      </c>
      <c r="D3" s="23" t="inlineStr">
        <is>
          <t>Kiểm tra thành công: Luồng Bắt buộc trường
(*) trước khi 'Xác nhận'</t>
        </is>
      </c>
      <c r="E3" s="23" t="inlineStr">
        <is>
          <t>Happy</t>
        </is>
      </c>
      <c r="F3" s="23" t="inlineStr">
        <is>
          <t>Smoke</t>
        </is>
      </c>
      <c r="G3" s="23" t="inlineStr">
        <is>
          <t>P1</t>
        </is>
      </c>
      <c r="H3" s="23" t="inlineStr">
        <is>
          <t>1. Đăng nhập Maker mở màn PR 02 'Công thức tính phí' có quyền tạo/sửa ngày hệ thống=T dữ liệu nền có ≥1 công thức đã duyệt.</t>
        </is>
      </c>
      <c r="I3" s="23" t="inlineStr">
        <is>
          <t>1) Nhấn 'Thêm mới'
2) Nhập Tên/Mã
3) Thêm 1 cấu phần 'Số cố định'
4) Nhấn 'Xác nhận'</t>
        </is>
      </c>
      <c r="J3" s="23" t="inlineStr">
        <is>
          <t>(i) Nghiệp vụ/Logic: Thông tin được xử lý thành công và lưu trữ toàn vẹn dữ liệu.
(ii) UI: Thông báo 'Thao tác thành công'.
(iii) Trạng thái: 'Chờ duyệt' (Maker tạo mới).</t>
        </is>
      </c>
      <c r="K3" s="23" t="inlineStr">
        <is>
          <t>II.5.1.2</t>
        </is>
      </c>
      <c r="L3" s="23" t="inlineStr">
        <is>
          <t>BR_01</t>
        </is>
      </c>
      <c r="M3" s="23" t="inlineStr">
        <is>
          <t>BR_01-TC</t>
        </is>
      </c>
      <c r="N3" s="23" t="n"/>
      <c r="O3" s="23" t="n"/>
      <c r="P3" s="23" t="n"/>
      <c r="Q3" s="23" t="n"/>
      <c r="R3" s="23" t="n"/>
      <c r="S3" s="23" t="n"/>
      <c r="T3" s="23" t="n"/>
      <c r="U3" s="23">
        <f>IF(R3&lt;&gt;"", R3, O3)</f>
        <v/>
      </c>
    </row>
    <row r="4" ht="192" customHeight="1" s="17">
      <c r="A4" s="23" t="inlineStr">
        <is>
          <t>PR02-BR_01-NEG-002</t>
        </is>
      </c>
      <c r="B4" s="23" t="inlineStr">
        <is>
          <t>PR.02</t>
        </is>
      </c>
      <c r="C4" s="23" t="inlineStr">
        <is>
          <t>BR-based: Bắt buộc trường (*) trước khi 'Xác nhận'</t>
        </is>
      </c>
      <c r="D4" s="23" t="inlineStr">
        <is>
          <t>Kiểm tra lỗi: Chặn và báo lỗi khi Bắt buộc trường
(*) trước khi 'Xác nhận'</t>
        </is>
      </c>
      <c r="E4" s="23" t="inlineStr">
        <is>
          <t>Negative</t>
        </is>
      </c>
      <c r="F4" s="23" t="inlineStr">
        <is>
          <t>Smoke</t>
        </is>
      </c>
      <c r="G4" s="23" t="inlineStr">
        <is>
          <t>P1</t>
        </is>
      </c>
      <c r="H4" s="23" t="inlineStr">
        <is>
          <t>1. Đăng nhập Maker mở màn PR 02 'Công thức tính phí' có quyền tạo/sửa ngày hệ thống=T dữ liệu nền có ≥1 công thức đã duyệt.</t>
        </is>
      </c>
      <c r="I4" s="23" t="inlineStr">
        <is>
          <t>1. Đăng nhập hệ thống với vai trò Maker.
2. Điều hướng đến màn hình 'BR-based: Bắt buộc trường
(*) trước khi 'Xác nhận''.
3. Thực hiện thao tác cụ thể:
1) Nhấn 'Thêm mới'
2) Biến thể gộp: 2a) Thiếu Tên; 2b) Thiếu Mã; 2c) Không thêm cấu phần
3) 'Xác nhận'
4. Nhấn nút 'Xác nhận' hoặc 'Hoàn tất' (tùy màn hình).
5. Kiểm tra thông báo hiển thị trên giao diện.
6. Kiểm tra trạng thái bản ghi tại 'Tác vụ chờ duyệt' (nếu là Happy path).</t>
        </is>
      </c>
      <c r="J4"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4" s="23" t="inlineStr">
        <is>
          <t>II.5.1.2</t>
        </is>
      </c>
      <c r="L4" s="23" t="inlineStr">
        <is>
          <t>BR_01</t>
        </is>
      </c>
      <c r="M4" s="23" t="inlineStr">
        <is>
          <t>BR_01-TC</t>
        </is>
      </c>
      <c r="N4" s="23" t="inlineStr">
        <is>
          <t>MERGE thiếu Tên/Mã/Cấu phần</t>
        </is>
      </c>
      <c r="O4" s="23" t="n"/>
      <c r="P4" s="23" t="n"/>
      <c r="Q4" s="23" t="n"/>
      <c r="R4" s="23" t="n"/>
      <c r="S4" s="23" t="n"/>
      <c r="T4" s="23" t="n"/>
      <c r="U4" s="23">
        <f>IF(R4&lt;&gt;"", R4, O4)</f>
        <v/>
      </c>
    </row>
    <row r="5" ht="64" customHeight="1" s="17">
      <c r="A5" s="23" t="inlineStr">
        <is>
          <t>PR02-BR_01-BOU-003</t>
        </is>
      </c>
      <c r="B5" s="23" t="inlineStr">
        <is>
          <t>PR.02</t>
        </is>
      </c>
      <c r="C5" s="23" t="inlineStr">
        <is>
          <t>BR-based: Bắt buộc trường (*) trước khi 'Xác nhận'</t>
        </is>
      </c>
      <c r="D5" s="23" t="inlineStr">
        <is>
          <t>Kiểm tra biên: Xác minh giới hạn của Bắt buộc trường
(*) trước khi 'Xác nhận'</t>
        </is>
      </c>
      <c r="E5" s="23" t="inlineStr">
        <is>
          <t>Boundary</t>
        </is>
      </c>
      <c r="F5" s="23" t="inlineStr">
        <is>
          <t>Regression</t>
        </is>
      </c>
      <c r="G5" s="23" t="inlineStr">
        <is>
          <t>P3</t>
        </is>
      </c>
      <c r="H5" s="23" t="inlineStr">
        <is>
          <t>1. Đăng nhập Maker mở màn PR 02 'Công thức tính phí' có quyền tạo/sửa ngày hệ thống=T dữ liệu nền có ≥1 công thức đã duyệt.</t>
        </is>
      </c>
      <c r="I5" s="23" t="inlineStr">
        <is>
          <t>1) Nhập Tên chứa Unicode &amp; khoảng trắng đầu/cuối
2) Nhập Mã ở độ dài biên
(giả định max) 3) Thêm cấu phần hợp lệ
4) 'Xác nhận'</t>
        </is>
      </c>
      <c r="J5" s="23" t="inlineStr">
        <is>
          <t>(i) Nghiệp vụ/Logic: Hệ thống xử lý đúng quy định tại giá trị biên (Min/Max/Limit).
(ii) UI: Hiển thị thông báo hoặc trạng thái tương ứng.
(iii) Trạng thái: Lưu hoặc Chặn tùy quy định.</t>
        </is>
      </c>
      <c r="K5" s="23" t="inlineStr">
        <is>
          <t>II.5.1.2</t>
        </is>
      </c>
      <c r="L5" s="23" t="inlineStr">
        <is>
          <t>BR_01</t>
        </is>
      </c>
      <c r="M5" s="23" t="inlineStr">
        <is>
          <t>BR_01-TC</t>
        </is>
      </c>
      <c r="N5" s="23" t="n"/>
      <c r="O5" s="23" t="n"/>
      <c r="P5" s="23" t="n"/>
      <c r="Q5" s="23" t="n"/>
      <c r="R5" s="23" t="n"/>
      <c r="S5" s="23" t="n"/>
      <c r="T5" s="23" t="n"/>
      <c r="U5" s="23">
        <f>IF(R5&lt;&gt;"", R5, O5)</f>
        <v/>
      </c>
    </row>
    <row r="6" ht="64" customHeight="1" s="17">
      <c r="A6" s="23" t="inlineStr">
        <is>
          <t>PR02-BR_02-HAP-004</t>
        </is>
      </c>
      <c r="B6" s="23" t="inlineStr">
        <is>
          <t>PR.02</t>
        </is>
      </c>
      <c r="C6" s="23" t="inlineStr">
        <is>
          <t>BR-based: 'Đóng' không lưu</t>
        </is>
      </c>
      <c r="D6" s="23" t="inlineStr">
        <is>
          <t>Kiểm tra nút Đóng: Đảm bảo không lưu dữ liệu và thoát form</t>
        </is>
      </c>
      <c r="E6" s="23" t="inlineStr">
        <is>
          <t>Happy</t>
        </is>
      </c>
      <c r="F6" s="23" t="inlineStr">
        <is>
          <t>Regression</t>
        </is>
      </c>
      <c r="G6" s="23" t="inlineStr">
        <is>
          <t>P2</t>
        </is>
      </c>
      <c r="H6" s="23" t="inlineStr">
        <is>
          <t>1. Đăng nhập Maker mở màn PR 02 'Công thức tính phí' có quyền tạo/sửa ngày hệ thống=T dữ liệu nền có ≥1 công thức đã duyệt.</t>
        </is>
      </c>
      <c r="I6" s="23" t="inlineStr">
        <is>
          <t>1) Mở form 'Thêm mới'
2) Nhập hợp lệ
3) Nhấn 'Đóng'
4) Mở OT.01 &amp; lưới</t>
        </is>
      </c>
      <c r="J6" s="23" t="inlineStr">
        <is>
          <t>(i) Nghiệp vụ/Logic: Hệ thống không lưu thông tin đã nhập.
(ii) UI: Đóng form quay về màn trước.
(iii) Trạng thái: Không tạo bản ghi chờ duyệt.</t>
        </is>
      </c>
      <c r="K6" s="23" t="inlineStr">
        <is>
          <t>II.5.1.2</t>
        </is>
      </c>
      <c r="L6" s="23" t="inlineStr">
        <is>
          <t>BR_02</t>
        </is>
      </c>
      <c r="M6" s="23" t="inlineStr">
        <is>
          <t>BR_02-TC</t>
        </is>
      </c>
      <c r="N6" s="23" t="n"/>
      <c r="O6" s="23" t="n"/>
      <c r="P6" s="23" t="n"/>
      <c r="Q6" s="23" t="n"/>
      <c r="R6" s="23" t="n"/>
      <c r="S6" s="23" t="n"/>
      <c r="T6" s="23" t="n"/>
      <c r="U6" s="23">
        <f>IF(R6&lt;&gt;"", R6, O6)</f>
        <v/>
      </c>
    </row>
    <row r="7" ht="160" customHeight="1" s="17">
      <c r="A7" s="23" t="inlineStr">
        <is>
          <t>PR02-BR_02-NEG-005</t>
        </is>
      </c>
      <c r="B7" s="23" t="inlineStr">
        <is>
          <t>PR.02</t>
        </is>
      </c>
      <c r="C7" s="23" t="inlineStr">
        <is>
          <t>BR-based: 'Đóng' không lưu</t>
        </is>
      </c>
      <c r="D7" s="23" t="inlineStr">
        <is>
          <t>Kiểm tra nút Đóng: Đảm bảo không lưu dữ liệu và thoát form</t>
        </is>
      </c>
      <c r="E7" s="23" t="inlineStr">
        <is>
          <t>Negative</t>
        </is>
      </c>
      <c r="F7" s="23" t="inlineStr">
        <is>
          <t>Regression</t>
        </is>
      </c>
      <c r="G7" s="23" t="inlineStr">
        <is>
          <t>P3</t>
        </is>
      </c>
      <c r="H7" s="23" t="inlineStr">
        <is>
          <t>1. Đăng nhập Maker mở màn PR 02 'Công thức tính phí' có quyền tạo/sửa ngày hệ thống=T dữ liệu nền có ≥1 công thức đã duyệt.</t>
        </is>
      </c>
      <c r="I7" s="23" t="inlineStr">
        <is>
          <t>1. Đăng nhập hệ thống với vai trò Maker.
2. Điều hướng đến màn hình 'BR-based: 'Đóng' không lưu'.
3. Thực hiện thao tác cụ thể:
1) Nhập dữ liệu
2) Refresh/đóng tab trước khi 'Xác nhận'
3) Mở lại màn
4. Nhấn nút 'Xác nhận' hoặc 'Hoàn tất' (tùy màn hình).
5. Kiểm tra thông báo hiển thị trên giao diện.
6. Kiểm tra trạng thái bản ghi tại 'Tác vụ chờ duyệt' (nếu là Happy path).</t>
        </is>
      </c>
      <c r="J7" s="23" t="inlineStr">
        <is>
          <t>(i) Nghiệp vụ/Logic: Hệ thống không lưu thông tin đã nhập.
(ii) UI: Đóng form quay về màn trước.
(iii) Trạng thái: Không tạo bản ghi chờ duyệt.</t>
        </is>
      </c>
      <c r="K7" s="23" t="inlineStr">
        <is>
          <t>II.5.1.2</t>
        </is>
      </c>
      <c r="L7" s="23" t="inlineStr">
        <is>
          <t>BR_02</t>
        </is>
      </c>
      <c r="M7" s="23" t="inlineStr">
        <is>
          <t>BR_02-TC</t>
        </is>
      </c>
      <c r="N7" s="23" t="n"/>
      <c r="O7" s="23" t="n"/>
      <c r="P7" s="23" t="n"/>
      <c r="Q7" s="23" t="n"/>
      <c r="R7" s="23" t="n"/>
      <c r="S7" s="23" t="n"/>
      <c r="T7" s="23" t="n"/>
      <c r="U7" s="23">
        <f>IF(R7&lt;&gt;"", R7, O7)</f>
        <v/>
      </c>
    </row>
    <row r="8" ht="160" customHeight="1" s="17">
      <c r="A8" s="23" t="inlineStr">
        <is>
          <t>PR02-BR_03-NEG-006</t>
        </is>
      </c>
      <c r="B8" s="23" t="inlineStr">
        <is>
          <t>PR.02</t>
        </is>
      </c>
      <c r="C8" s="23" t="inlineStr">
        <is>
          <t>BR-based: Tên/Mã công thức duy nhất</t>
        </is>
      </c>
      <c r="D8" s="23" t="inlineStr">
        <is>
          <t>Kiểm tra lỗi: Chặn và báo lỗi khi Tên/Mã công thức duy nhất</t>
        </is>
      </c>
      <c r="E8" s="23" t="inlineStr">
        <is>
          <t>Negative</t>
        </is>
      </c>
      <c r="F8" s="23" t="inlineStr">
        <is>
          <t>Regression</t>
        </is>
      </c>
      <c r="G8" s="23" t="inlineStr">
        <is>
          <t>P2</t>
        </is>
      </c>
      <c r="H8" s="23" t="inlineStr">
        <is>
          <t>1. Đăng nhập Maker mở màn PR 02 'Công thức tính phí' có quyền tạo/sửa ngày hệ thống=T dữ liệu nền có ≥1 công thức đã duyệt.</t>
        </is>
      </c>
      <c r="I8" s="23" t="inlineStr">
        <is>
          <t>1. Đăng nhập hệ thống với vai trò Maker.
2. Điều hướng đến màn hình 'BR-based: Tên/Mã công thức duy nhất'.
3. Thực hiện thao tác cụ thể:
1) 'Thêm mới' công thức có Tên/Mã = 'CF_EXIST' đã tồn tại
2) 'Xác nhận'
4. Nhấn nút 'Xác nhận' hoặc 'Hoàn tất' (tùy màn hình).
5. Kiểm tra thông báo hiển thị trên giao diện.
6. Kiểm tra trạng thái bản ghi tại 'Tác vụ chờ duyệt' (nếu là Happy path).</t>
        </is>
      </c>
      <c r="J8"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8" s="23" t="inlineStr">
        <is>
          <t>II.5.1.2</t>
        </is>
      </c>
      <c r="L8" s="23" t="inlineStr">
        <is>
          <t>BR_03</t>
        </is>
      </c>
      <c r="M8" s="23" t="inlineStr">
        <is>
          <t>BR_03-TC</t>
        </is>
      </c>
      <c r="N8" s="23" t="n"/>
      <c r="O8" s="23" t="n"/>
      <c r="P8" s="23" t="n"/>
      <c r="Q8" s="23" t="n"/>
      <c r="R8" s="23" t="n"/>
      <c r="S8" s="23" t="n"/>
      <c r="T8" s="23" t="n"/>
      <c r="U8" s="23">
        <f>IF(R8&lt;&gt;"", R8, O8)</f>
        <v/>
      </c>
    </row>
    <row r="9" ht="160" customHeight="1" s="17">
      <c r="A9" s="23" t="inlineStr">
        <is>
          <t>PR02-BR_03-BOU-007</t>
        </is>
      </c>
      <c r="B9" s="23" t="inlineStr">
        <is>
          <t>PR.02</t>
        </is>
      </c>
      <c r="C9" s="23" t="inlineStr">
        <is>
          <t>BR-based: Tên/Mã công thức duy nhất</t>
        </is>
      </c>
      <c r="D9" s="23" t="inlineStr">
        <is>
          <t>Kiểm tra biên: Xác minh giới hạn của Tên/Mã công thức duy nhất</t>
        </is>
      </c>
      <c r="E9" s="23" t="inlineStr">
        <is>
          <t>Boundary</t>
        </is>
      </c>
      <c r="F9" s="23" t="inlineStr">
        <is>
          <t>Regression</t>
        </is>
      </c>
      <c r="G9" s="23" t="inlineStr">
        <is>
          <t>P3</t>
        </is>
      </c>
      <c r="H9" s="23" t="inlineStr">
        <is>
          <t>1. Đăng nhập Maker mở màn PR 02 'Công thức tính phí' có quyền tạo/sửa ngày hệ thống=T dữ liệu nền có ≥1 công thức đã duyệt.</t>
        </is>
      </c>
      <c r="I9" s="23" t="inlineStr">
        <is>
          <t>1. Đăng nhập hệ thống với vai trò Maker.
2. Điều hướng đến màn hình 'BR-based: Tên/Mã công thức duy nhất'.
3. Thực hiện thao tác cụ thể:
1) Nhập Tên/Mã với khác biệt hoa-thường/khoảng trắng
2) 'Xác nhận'
4. Nhấn nút 'Xác nhận' hoặc 'Hoàn tất' (tùy màn hình).
5. Kiểm tra thông báo hiển thị trên giao diện.
6. Kiểm tra trạng thái bản ghi tại 'Tác vụ chờ duyệt' (nếu là Happy path).</t>
        </is>
      </c>
      <c r="J9" s="23" t="inlineStr">
        <is>
          <t>(i) Nghiệp vụ/Logic: Hệ thống xử lý đúng quy định tại giá trị biên (Min/Max/Limit).
(ii) UI: Hiển thị thông báo hoặc trạng thái tương ứng.
(iii) Trạng thái: Lưu hoặc Chặn tùy quy định.</t>
        </is>
      </c>
      <c r="K9" s="23" t="inlineStr">
        <is>
          <t>II.5.1.2</t>
        </is>
      </c>
      <c r="L9" s="23" t="inlineStr">
        <is>
          <t>BR_03</t>
        </is>
      </c>
      <c r="M9" s="23" t="inlineStr">
        <is>
          <t>BR_03-TC</t>
        </is>
      </c>
      <c r="N9" s="23" t="n"/>
      <c r="O9" s="23" t="n"/>
      <c r="P9" s="23" t="n"/>
      <c r="Q9" s="23" t="n"/>
      <c r="R9" s="23" t="n"/>
      <c r="S9" s="23" t="n"/>
      <c r="T9" s="23" t="n"/>
      <c r="U9" s="23">
        <f>IF(R9&lt;&gt;"", R9, O9)</f>
        <v/>
      </c>
    </row>
    <row r="10" ht="160" customHeight="1" s="17">
      <c r="A10" s="23" t="inlineStr">
        <is>
          <t>PR02-BR_03-INT-008</t>
        </is>
      </c>
      <c r="B10" s="23" t="inlineStr">
        <is>
          <t>PR.02</t>
        </is>
      </c>
      <c r="C10" s="23" t="inlineStr">
        <is>
          <t>BR-based: Tên/Mã công thức duy nhất</t>
        </is>
      </c>
      <c r="D10" s="23" t="inlineStr">
        <is>
          <t>BR_03 Integration: Tên/Mã công thức duy nhất</t>
        </is>
      </c>
      <c r="E10" s="23" t="inlineStr">
        <is>
          <t>Integration</t>
        </is>
      </c>
      <c r="F10" s="23" t="inlineStr">
        <is>
          <t>Regression</t>
        </is>
      </c>
      <c r="G10" s="23" t="inlineStr">
        <is>
          <t>P2</t>
        </is>
      </c>
      <c r="H10" s="23" t="inlineStr">
        <is>
          <t>1. Đăng nhập Maker mở màn PR 02 'Công thức tính phí' có quyền tạo/sửa ngày hệ thống=T dữ liệu nền có ≥1 công thức đã duyệt.</t>
        </is>
      </c>
      <c r="I10" s="23" t="inlineStr">
        <is>
          <t>1. Đăng nhập hệ thống với vai trò Maker.
2. Điều hướng đến màn hình 'BR-based: Tên/Mã công thức duy nhất'.
3. Thực hiện thao tác cụ thể:
1) Hai user mở form đồng thời
2) Cùng 'Xác nhận' với cùng Tên/Mã
4. Nhấn nút 'Xác nhận' hoặc 'Hoàn tất' (tùy màn hình).
5. Kiểm tra thông báo hiển thị trên giao diện.
6. Kiểm tra trạng thái bản ghi tại 'Tác vụ chờ duyệt' (nếu là Happy path).</t>
        </is>
      </c>
      <c r="J10" s="23" t="inlineStr">
        <is>
          <t>(i) Nghiệp vụ/Logic: Hệ thống kiểm tra tính duy nhất. Mã công thức và Tên công thức không được phép trùng với bất kỳ bản ghi nào khác trong hệ thống.
(ii) UI (Toast/Popup/Grid): Thông báo lỗi bật lên: 'Tên hoặc Mã công thức đã tồn tại. Vui lòng kiểm tra và nhập lại'.
(iii) Trạng thái/Audit log: Trạng thái bản ghi: 'Chờ duyệt'
(Pending). Hệ thống ghi log hành động: 'Maker tạo mới công thức'.</t>
        </is>
      </c>
      <c r="K10" s="23" t="inlineStr">
        <is>
          <t>II.5.1.2</t>
        </is>
      </c>
      <c r="L10" s="23" t="inlineStr">
        <is>
          <t>BR_03</t>
        </is>
      </c>
      <c r="M10" s="23" t="inlineStr">
        <is>
          <t>BR_03-TC</t>
        </is>
      </c>
      <c r="N10" s="23" t="n"/>
      <c r="O10" s="23" t="n"/>
      <c r="P10" s="23" t="n"/>
      <c r="Q10" s="23" t="n"/>
      <c r="R10" s="23" t="n"/>
      <c r="S10" s="23" t="n"/>
      <c r="T10" s="23" t="n"/>
      <c r="U10" s="23">
        <f>IF(R10&lt;&gt;"", R10, O10)</f>
        <v/>
      </c>
    </row>
    <row r="11" ht="160" customHeight="1" s="17">
      <c r="A11" s="23" t="inlineStr">
        <is>
          <t>PR02-BR_04-HAP-009</t>
        </is>
      </c>
      <c r="B11" s="23" t="inlineStr">
        <is>
          <t>PR.02</t>
        </is>
      </c>
      <c r="C11" s="23" t="inlineStr">
        <is>
          <t>BR-based: Tối đa 3 cấu phần, liên kết bằng '+'</t>
        </is>
      </c>
      <c r="D11" s="23" t="inlineStr">
        <is>
          <t>Kiểm tra thành công: Luồng Tối đa 3 cấu phần, liên kết bằng '+'</t>
        </is>
      </c>
      <c r="E11" s="23" t="inlineStr">
        <is>
          <t>Happy</t>
        </is>
      </c>
      <c r="F11" s="23" t="inlineStr">
        <is>
          <t>Regression</t>
        </is>
      </c>
      <c r="G11" s="23" t="inlineStr">
        <is>
          <t>P2</t>
        </is>
      </c>
      <c r="H11" s="23" t="inlineStr">
        <is>
          <t>1. Đăng nhập Maker mở màn PR 02 'Công thức tính phí' có quyền tạo/sửa ngày hệ thống=T dữ liệu nền có ≥1 công thức đã duyệt.</t>
        </is>
      </c>
      <c r="I11" s="23" t="inlineStr">
        <is>
          <t>1. Đăng nhập hệ thống với vai trò Maker.
2. Điều hướng đến màn hình 'BR-based: Tối đa 3 cấu phần, liên kết bằng '+''.
3. Thực hiện thao tác cụ thể:
1) Thêm 3 cấu phần hợp lệ
(Số cố định/Tỷ lệ*Giá trị/Đơn giá*Số lượng) 2) 'Xác nhận'
4. Nhấn nút 'Xác nhận' hoặc 'Hoàn tất' (tùy màn hình).
5. Kiểm tra thông báo hiển thị trên giao diện.
6. Kiểm tra trạng thái bản ghi tại 'Tác vụ chờ duyệt' (nếu là Happy path).</t>
        </is>
      </c>
      <c r="J11" s="23" t="inlineStr">
        <is>
          <t>(i) Nghiệp vụ/Logic: Thông tin được xử lý thành công và lưu trữ toàn vẹn dữ liệu.
(ii) UI: Thông báo 'Thao tác thành công'.
(iii) Trạng thái: 'Chờ duyệt' (Maker tạo mới).</t>
        </is>
      </c>
      <c r="K11" s="23" t="inlineStr">
        <is>
          <t>II.5.1.2</t>
        </is>
      </c>
      <c r="L11" s="23" t="inlineStr">
        <is>
          <t>BR_04</t>
        </is>
      </c>
      <c r="M11" s="23" t="inlineStr">
        <is>
          <t>BR_04-TC</t>
        </is>
      </c>
      <c r="N11" s="23" t="n"/>
      <c r="O11" s="23" t="n"/>
      <c r="P11" s="23" t="n"/>
      <c r="Q11" s="23" t="n"/>
      <c r="R11" s="23" t="n"/>
      <c r="S11" s="23" t="n"/>
      <c r="T11" s="23" t="n"/>
      <c r="U11" s="23">
        <f>IF(R11&lt;&gt;"", R11, O11)</f>
        <v/>
      </c>
    </row>
    <row r="12" ht="160" customHeight="1" s="17">
      <c r="A12" s="23" t="inlineStr">
        <is>
          <t>PR02-BR_04-NEG-010</t>
        </is>
      </c>
      <c r="B12" s="23" t="inlineStr">
        <is>
          <t>PR.02</t>
        </is>
      </c>
      <c r="C12" s="23" t="inlineStr">
        <is>
          <t>BR-based: Tối đa 3 cấu phần, liên kết bằng '+'</t>
        </is>
      </c>
      <c r="D12" s="23" t="inlineStr">
        <is>
          <t>Kiểm tra lỗi: Chặn và báo lỗi khi Tối đa 3 cấu phần, liên kết bằng '+'</t>
        </is>
      </c>
      <c r="E12" s="23" t="inlineStr">
        <is>
          <t>Negative</t>
        </is>
      </c>
      <c r="F12" s="23" t="inlineStr">
        <is>
          <t>Regression</t>
        </is>
      </c>
      <c r="G12" s="23" t="inlineStr">
        <is>
          <t>P2</t>
        </is>
      </c>
      <c r="H12" s="23" t="inlineStr">
        <is>
          <t>1. Đăng nhập Maker mở màn PR 02 'Công thức tính phí' có quyền tạo/sửa ngày hệ thống=T dữ liệu nền có ≥1 công thức đã duyệt.</t>
        </is>
      </c>
      <c r="I12" s="23" t="inlineStr">
        <is>
          <t>1. Đăng nhập hệ thống với vai trò Maker.
2. Điều hướng đến màn hình 'BR-based: Tối đa 3 cấu phần, liên kết bằng '+''.
3. Thực hiện thao tác cụ thể:
1) Sau khi có 3 cấu phần
2) Thử thêm cấu phần thứ 4
4. Nhấn nút 'Xác nhận' hoặc 'Hoàn tất' (tùy màn hình).
5. Kiểm tra thông báo hiển thị trên giao diện.
6. Kiểm tra trạng thái bản ghi tại 'Tác vụ chờ duyệt' (nếu là Happy path).</t>
        </is>
      </c>
      <c r="J12"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2" s="23" t="inlineStr">
        <is>
          <t>II.5.1.2</t>
        </is>
      </c>
      <c r="L12" s="23" t="inlineStr">
        <is>
          <t>BR_04</t>
        </is>
      </c>
      <c r="M12" s="23" t="inlineStr">
        <is>
          <t>BR_04-TC</t>
        </is>
      </c>
      <c r="N12" s="23" t="n"/>
      <c r="O12" s="23" t="n"/>
      <c r="P12" s="23" t="n"/>
      <c r="Q12" s="23" t="n"/>
      <c r="R12" s="23" t="n"/>
      <c r="S12" s="23" t="n"/>
      <c r="T12" s="23" t="n"/>
      <c r="U12" s="23">
        <f>IF(R12&lt;&gt;"", R12, O12)</f>
        <v/>
      </c>
    </row>
    <row r="13" ht="160" customHeight="1" s="17">
      <c r="A13" s="23" t="inlineStr">
        <is>
          <t>PR02-BR_04-BOU-011</t>
        </is>
      </c>
      <c r="B13" s="23" t="inlineStr">
        <is>
          <t>PR.02</t>
        </is>
      </c>
      <c r="C13" s="23" t="inlineStr">
        <is>
          <t>BR-based: Tối đa 3 cấu phần, liên kết bằng '+'</t>
        </is>
      </c>
      <c r="D13" s="23" t="inlineStr">
        <is>
          <t>Kiểm tra biên: Xác minh giới hạn của Tối đa 3 cấu phần, liên kết bằng '+'</t>
        </is>
      </c>
      <c r="E13" s="23" t="inlineStr">
        <is>
          <t>Boundary</t>
        </is>
      </c>
      <c r="F13" s="23" t="inlineStr">
        <is>
          <t>Regression</t>
        </is>
      </c>
      <c r="G13" s="23" t="inlineStr">
        <is>
          <t>P3</t>
        </is>
      </c>
      <c r="H13" s="23" t="inlineStr">
        <is>
          <t>1. Đăng nhập Maker mở màn PR 02 'Công thức tính phí' có quyền tạo/sửa ngày hệ thống=T dữ liệu nền có ≥1 công thức đã duyệt.</t>
        </is>
      </c>
      <c r="I13" s="23" t="inlineStr">
        <is>
          <t>1. Đăng nhập hệ thống với vai trò Maker.
2. Điều hướng đến màn hình 'BR-based: Tối đa 3 cấu phần, liên kết bằng '+''.
3. Thực hiện thao tác cụ thể:
1) Xoá nhanh một cấu phần rồi thêm lại nhiều lần
2) 'Xác nhận'
4. Nhấn nút 'Xác nhận' hoặc 'Hoàn tất' (tùy màn hình).
5. Kiểm tra thông báo hiển thị trên giao diện.
6. Kiểm tra trạng thái bản ghi tại 'Tác vụ chờ duyệt' (nếu là Happy path).</t>
        </is>
      </c>
      <c r="J13" s="23" t="inlineStr">
        <is>
          <t>(i) Nghiệp vụ/Logic: Hệ thống xử lý đúng quy định tại giá trị biên (Min/Max/Limit).
(ii) UI: Hiển thị thông báo hoặc trạng thái tương ứng.
(iii) Trạng thái: Lưu hoặc Chặn tùy quy định.</t>
        </is>
      </c>
      <c r="K13" s="23" t="inlineStr">
        <is>
          <t>II.5.1.2</t>
        </is>
      </c>
      <c r="L13" s="23" t="inlineStr">
        <is>
          <t>BR_04</t>
        </is>
      </c>
      <c r="M13" s="23" t="inlineStr">
        <is>
          <t>BR_04-TC</t>
        </is>
      </c>
      <c r="N13" s="23" t="n"/>
      <c r="O13" s="23" t="n"/>
      <c r="P13" s="23" t="n"/>
      <c r="Q13" s="23" t="n"/>
      <c r="R13" s="23" t="n"/>
      <c r="S13" s="23" t="n"/>
      <c r="T13" s="23" t="n"/>
      <c r="U13" s="23">
        <f>IF(R13&lt;&gt;"", R13, O13)</f>
        <v/>
      </c>
    </row>
    <row r="14" ht="160" customHeight="1" s="17">
      <c r="A14" s="23" t="inlineStr">
        <is>
          <t>PR02-BR_05-HAP-012</t>
        </is>
      </c>
      <c r="B14" s="23" t="inlineStr">
        <is>
          <t>PR.02</t>
        </is>
      </c>
      <c r="C14" s="23" t="inlineStr">
        <is>
          <t>BR-based: Danh sách 3 phương pháp cấu phần (Số cố định / Tỷ lệ*Giá trị / Đơn giá*Số lượng)</t>
        </is>
      </c>
      <c r="D14" s="23" t="inlineStr">
        <is>
          <t>Kiểm tra thành công: Luồng Danh sách 3 phương pháp cấu phần (Số cố định / Tỷ lệ*Giá trị / Đơn giá*Số lượng)</t>
        </is>
      </c>
      <c r="E14" s="23" t="inlineStr">
        <is>
          <t>Happy</t>
        </is>
      </c>
      <c r="F14" s="23" t="inlineStr">
        <is>
          <t>Regression</t>
        </is>
      </c>
      <c r="G14" s="23" t="inlineStr">
        <is>
          <t>P2</t>
        </is>
      </c>
      <c r="H14" s="23" t="inlineStr">
        <is>
          <t>1. Đăng nhập Maker mở màn PR 02 'Công thức tính phí' có quyền tạo/sửa ngày hệ thống=T dữ liệu nền có ≥1 công thức đã duyệt.</t>
        </is>
      </c>
      <c r="I14" s="23" t="inlineStr">
        <is>
          <t>1. Đăng nhập hệ thống với vai trò Maker.
2. Điều hướng đến màn hình 'BR-based: Danh sách 3 phương pháp cấu phần (Số cố định / Tỷ lệ*Giá trị / Đơn giá*Số lượng)'.
3. Thực hiện thao tác cụ thể:
1) Với mỗi cấu phần, mở danh sách phương pháp
2) Chọn 1 trong 3 phương pháp hợp lệ và nhập tham số
4. Nhấn nút 'Xác nhận' hoặc 'Hoàn tất' (tùy màn hình).
5. Kiểm tra thông báo hiển thị trên giao diện.
6. Kiểm tra trạng thái bản ghi tại 'Tác vụ chờ duyệt' (nếu là Happy path).</t>
        </is>
      </c>
      <c r="J14" s="23" t="inlineStr">
        <is>
          <t>(i) Nghiệp vụ/Logic: Thông tin được xử lý thành công và lưu trữ toàn vẹn dữ liệu.
(ii) UI: Thông báo 'Thao tác thành công'.
(iii) Trạng thái: 'Chờ duyệt' (Maker tạo mới).</t>
        </is>
      </c>
      <c r="K14" s="23" t="inlineStr">
        <is>
          <t>II.5.1.2</t>
        </is>
      </c>
      <c r="L14" s="23" t="inlineStr">
        <is>
          <t>BR_05</t>
        </is>
      </c>
      <c r="M14" s="23" t="inlineStr">
        <is>
          <t>BR_05-TC</t>
        </is>
      </c>
      <c r="N14" s="23" t="n"/>
      <c r="O14" s="23" t="n"/>
      <c r="P14" s="23" t="n"/>
      <c r="Q14" s="23" t="n"/>
      <c r="R14" s="23" t="n"/>
      <c r="S14" s="23" t="n"/>
      <c r="T14" s="23" t="n"/>
      <c r="U14" s="23">
        <f>IF(R14&lt;&gt;"", R14, O14)</f>
        <v/>
      </c>
    </row>
    <row r="15" ht="160" customHeight="1" s="17">
      <c r="A15" s="23" t="inlineStr">
        <is>
          <t>PR02-BR_05-NEG-013</t>
        </is>
      </c>
      <c r="B15" s="23" t="inlineStr">
        <is>
          <t>PR.02</t>
        </is>
      </c>
      <c r="C15" s="23" t="inlineStr">
        <is>
          <t>BR-based: Danh sách 3 phương pháp cấu phần (Số cố định / Tỷ lệ*Giá trị / Đơn giá*Số lượng)</t>
        </is>
      </c>
      <c r="D15" s="23" t="inlineStr">
        <is>
          <t>Kiểm tra lỗi: Chặn và báo lỗi khi Danh sách 3 phương pháp cấu phần (Số cố định / Tỷ lệ*Giá trị / Đơn giá*Số lượng)</t>
        </is>
      </c>
      <c r="E15" s="23" t="inlineStr">
        <is>
          <t>Negative</t>
        </is>
      </c>
      <c r="F15" s="23" t="inlineStr">
        <is>
          <t>Regression</t>
        </is>
      </c>
      <c r="G15" s="23" t="inlineStr">
        <is>
          <t>P2</t>
        </is>
      </c>
      <c r="H15" s="23" t="inlineStr">
        <is>
          <t>1. Đăng nhập Maker mở màn PR 02 'Công thức tính phí' có quyền tạo/sửa ngày hệ thống=T dữ liệu nền có ≥1 công thức đã duyệt.</t>
        </is>
      </c>
      <c r="I15" s="23" t="inlineStr">
        <is>
          <t>1. Đăng nhập hệ thống với vai trò Maker.
2. Điều hướng đến màn hình 'BR-based: Danh sách 3 phương pháp cấu phần (Số cố định / Tỷ lệ*Giá trị / Đơn giá*Số lượng)'.
3. Thực hiện thao tác cụ thể:
1) Thử chọn phương pháp không thuộc danh mục
(qua DevTools/API) 2) 'Xác nhận'
4. Nhấn nút 'Xác nhận' hoặc 'Hoàn tất' (tùy màn hình).
5. Kiểm tra thông báo hiển thị trên giao diện.
6. Kiểm tra trạng thái bản ghi tại 'Tác vụ chờ duyệt' (nếu là Happy path).</t>
        </is>
      </c>
      <c r="J15"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5" s="23" t="inlineStr">
        <is>
          <t>II.5.1.2</t>
        </is>
      </c>
      <c r="L15" s="23" t="inlineStr">
        <is>
          <t>BR_05</t>
        </is>
      </c>
      <c r="M15" s="23" t="inlineStr">
        <is>
          <t>BR_05-TC</t>
        </is>
      </c>
      <c r="N15" s="23" t="n"/>
      <c r="O15" s="23" t="n"/>
      <c r="P15" s="23" t="n"/>
      <c r="Q15" s="23" t="n"/>
      <c r="R15" s="23" t="n"/>
      <c r="S15" s="23" t="n"/>
      <c r="T15" s="23" t="n"/>
      <c r="U15" s="23">
        <f>IF(R15&lt;&gt;"", R15, O15)</f>
        <v/>
      </c>
    </row>
    <row r="16" ht="160" customHeight="1" s="17">
      <c r="A16" s="23" t="inlineStr">
        <is>
          <t>PR02-BR_05-CAL-014</t>
        </is>
      </c>
      <c r="B16" s="23" t="inlineStr">
        <is>
          <t>PR.02</t>
        </is>
      </c>
      <c r="C16" s="23" t="inlineStr">
        <is>
          <t>BR-based: Danh sách 3 phương pháp cấu phần (Số cố định / Tỷ lệ*Giá trị / Đơn giá*Số lượng)</t>
        </is>
      </c>
      <c r="D16" s="23" t="inlineStr">
        <is>
          <t>BR_05 Calculation: Danh sách 3 phương pháp cấu phần (Số cố định / Tỷ lệ*Giá trị / Đơn giá*Số lượng)</t>
        </is>
      </c>
      <c r="E16" s="23" t="inlineStr">
        <is>
          <t>Calculation</t>
        </is>
      </c>
      <c r="F16" s="23" t="inlineStr">
        <is>
          <t>Regression</t>
        </is>
      </c>
      <c r="G16" s="23" t="inlineStr">
        <is>
          <t>P2</t>
        </is>
      </c>
      <c r="H16" s="23" t="inlineStr">
        <is>
          <t>1. Đăng nhập Maker mở màn PR 02 'Công thức tính phí' có quyền tạo/sửa ngày hệ thống=T dữ liệu nền có ≥1 công thức đã duyệt.</t>
        </is>
      </c>
      <c r="I16" s="23" t="inlineStr">
        <is>
          <t>1. Đăng nhập hệ thống với vai trò Maker.
2. Điều hướng đến màn hình 'BR-based: Danh sách 3 phương pháp cấu phần (Số cố định / Tỷ lệ*Giá trị / Đơn giá*Số lượng)'.
3. Thực hiện thao tác cụ thể:
1) Tạo ví dụ: 30 USD + 0,2% * 1000 USD
2) Nhấn 'Tính' / Xem preview
4. Nhấn nút 'Xác nhận' hoặc 'Hoàn tất' (tùy màn hình).
5. Kiểm tra thông báo hiển thị trên giao diện.
6. Kiểm tra trạng thái bản ghi tại 'Tác vụ chờ duyệt' (nếu là Happy path).</t>
        </is>
      </c>
      <c r="J16" s="23" t="inlineStr">
        <is>
          <t>(i) Nghiệp vụ/Logic: Hệ thống cho phép cấu hình linh hoạt từ 1 đến tối đa 3 cấu phần. Các cấu phần được ghép lại bằng toán tử cộng (+).
(ii) UI (Toast/Popup/Grid): Màn hình kiểm tra lại
(Review) hiển thị biểu thức tổng hợp chính xác (ví dụ: A + B + C).
(iii) Trạng thái/Audit log: Trạng thái bản ghi: 'Chờ duyệt'
(Pending). Hệ thống ghi log hành động: 'Maker tạo mới công thức'.</t>
        </is>
      </c>
      <c r="K16" s="23" t="inlineStr">
        <is>
          <t>II.5.1.2</t>
        </is>
      </c>
      <c r="L16" s="23" t="inlineStr">
        <is>
          <t>BR_05</t>
        </is>
      </c>
      <c r="M16" s="23" t="inlineStr">
        <is>
          <t>BR_05-TC</t>
        </is>
      </c>
      <c r="N16" s="23" t="n"/>
      <c r="O16" s="23" t="n"/>
      <c r="P16" s="23" t="n"/>
      <c r="Q16" s="23" t="n"/>
      <c r="R16" s="23" t="n"/>
      <c r="S16" s="23" t="n"/>
      <c r="T16" s="23" t="n"/>
      <c r="U16" s="23">
        <f>IF(R16&lt;&gt;"", R16, O16)</f>
        <v/>
      </c>
    </row>
    <row r="17" ht="112" customHeight="1" s="17">
      <c r="A17" s="23" t="inlineStr">
        <is>
          <t>PR02-BR_06-INT-015</t>
        </is>
      </c>
      <c r="B17" s="23" t="inlineStr">
        <is>
          <t>PR.02</t>
        </is>
      </c>
      <c r="C17" s="23" t="inlineStr">
        <is>
          <t>BR-based: Pending không hiển thị trên lưới</t>
        </is>
      </c>
      <c r="D17" s="23" t="inlineStr">
        <is>
          <t>Kiểm tra tích hợp: Luồng luân chuyển bản ghi từ Maker (Ẩn) sang Checker (Hiện)</t>
        </is>
      </c>
      <c r="E17" s="23" t="inlineStr">
        <is>
          <t>Integration</t>
        </is>
      </c>
      <c r="F17" s="23" t="inlineStr">
        <is>
          <t>Smoke</t>
        </is>
      </c>
      <c r="G17" s="23" t="inlineStr">
        <is>
          <t>P1</t>
        </is>
      </c>
      <c r="H17" s="23" t="inlineStr">
        <is>
          <t>1. Đăng nhập Maker mở màn PR 02 'Công thức tính phí' có quyền tạo/sửa ngày hệ thống=T dữ liệu nền có ≥1 công thức đã duyệt.</t>
        </is>
      </c>
      <c r="I17" s="23" t="inlineStr">
        <is>
          <t>1. Maker tạo mới bản ghi Công thức.
2. Kiểm tra lưới Danh sách của Maker.
3. Đăng nhập Checker vào màn hình 'Tác vụ chờ duyệt'.</t>
        </is>
      </c>
      <c r="J17" s="23" t="inlineStr">
        <is>
          <t>(i) Maker screen: Bản ghi KHÔNG hiển thị trên lưới.
(ii) Checker screen: Bản ghi hiển thị đầy đủ thông tin chờ duyệt.</t>
        </is>
      </c>
      <c r="K17" s="23" t="inlineStr">
        <is>
          <t>II.5.1.2</t>
        </is>
      </c>
      <c r="L17" s="23" t="inlineStr">
        <is>
          <t>BR_06</t>
        </is>
      </c>
      <c r="M17" s="23" t="inlineStr">
        <is>
          <t>BR_06-TC</t>
        </is>
      </c>
      <c r="N17" s="23" t="n"/>
      <c r="O17" s="23" t="n"/>
      <c r="P17" s="23" t="n"/>
      <c r="Q17" s="23" t="n"/>
      <c r="R17" s="23" t="n"/>
      <c r="S17" s="23" t="n"/>
      <c r="T17" s="23" t="n"/>
      <c r="U17" s="23">
        <f>IF(R17&lt;&gt;"", R17, O17)</f>
        <v/>
      </c>
    </row>
    <row r="18" ht="160" customHeight="1" s="17">
      <c r="A18" s="23" t="inlineStr">
        <is>
          <t>PR02-BR_06-NEG-016</t>
        </is>
      </c>
      <c r="B18" s="23" t="inlineStr">
        <is>
          <t>PR.02</t>
        </is>
      </c>
      <c r="C18" s="23" t="inlineStr">
        <is>
          <t>BR-based: Pending không hiển thị trên lưới</t>
        </is>
      </c>
      <c r="D18" s="23" t="inlineStr">
        <is>
          <t>Kiểm tra bảo mật: Chặn hiển thị bản ghi Chờ duyệt khi sử dụng các bộ lọc tại màn hình Maker</t>
        </is>
      </c>
      <c r="E18" s="23" t="inlineStr">
        <is>
          <t>Negative</t>
        </is>
      </c>
      <c r="F18" s="23" t="inlineStr">
        <is>
          <t>Regression</t>
        </is>
      </c>
      <c r="G18" s="23" t="inlineStr">
        <is>
          <t>P2</t>
        </is>
      </c>
      <c r="H18" s="23" t="inlineStr">
        <is>
          <t>1. Đăng nhập Maker mở màn PR 02 'Công thức tính phí' có quyền tạo/sửa ngày hệ thống=T dữ liệu nền có ≥1 công thức đã duyệt.</t>
        </is>
      </c>
      <c r="I18" s="23" t="inlineStr">
        <is>
          <t>1. Đảm bảo có bản ghi Chờ duyệt.
2. Tại màn hình Maker, chọn bộ lọc 'Tất cả trạng thái' hoặc 'Tìm kiếm theo ID'.
3. Quan sát kết quả.</t>
        </is>
      </c>
      <c r="J18" s="23" t="inlineStr">
        <is>
          <t>(i) Backend Security: Hệ thống lọc và loại trừ bản ghi Chờ duyệt khỏi kết quả tìm kiếm của Maker.
(ii) UI: Không thể truy cập bản ghi này dưới mọi hình thức lọc.</t>
        </is>
      </c>
      <c r="K18" s="23" t="inlineStr">
        <is>
          <t>II.5.1.2</t>
        </is>
      </c>
      <c r="L18" s="23" t="inlineStr">
        <is>
          <t>BR_06</t>
        </is>
      </c>
      <c r="M18" s="23" t="inlineStr">
        <is>
          <t>BR_06-TC</t>
        </is>
      </c>
      <c r="N18" s="23" t="n"/>
      <c r="O18" s="23" t="n"/>
      <c r="P18" s="23" t="n"/>
      <c r="Q18" s="23" t="n"/>
      <c r="R18" s="23" t="n"/>
      <c r="S18" s="23" t="n"/>
      <c r="T18" s="23" t="n"/>
      <c r="U18" s="23">
        <f>IF(R18&lt;&gt;"", R18, O18)</f>
        <v/>
      </c>
    </row>
    <row r="19" ht="160" customHeight="1" s="17">
      <c r="A19" s="23" t="inlineStr">
        <is>
          <t>PR02-BR_07-HAP-017</t>
        </is>
      </c>
      <c r="B19" s="23" t="inlineStr">
        <is>
          <t>PR.02</t>
        </is>
      </c>
      <c r="C19" s="23" t="inlineStr">
        <is>
          <t>BR-based: Pending có trạng thái 'Chờ duyệt' tại OT.01</t>
        </is>
      </c>
      <c r="D19" s="23" t="inlineStr">
        <is>
          <t>Kiểm tra thành công: Luồng Pending có trạng thái 'Chờ duyệt' tại OT.01</t>
        </is>
      </c>
      <c r="E19" s="23" t="inlineStr">
        <is>
          <t>Happy</t>
        </is>
      </c>
      <c r="F19" s="23" t="inlineStr">
        <is>
          <t>Smoke</t>
        </is>
      </c>
      <c r="G19" s="23" t="inlineStr">
        <is>
          <t>P1</t>
        </is>
      </c>
      <c r="H19" s="23" t="inlineStr">
        <is>
          <t>1. Đăng nhập Maker mở màn PR 02 'Công thức tính phí' có quyền tạo/sửa ngày hệ thống=T dữ liệu nền có ≥1 công thức đã duyệt.</t>
        </is>
      </c>
      <c r="I19" s="23" t="inlineStr">
        <is>
          <t>1. Đăng nhập hệ thống với vai trò Maker.
2. Điều hướng đến màn hình 'BR-based: Pending có trạng thái 'Chờ duyệt' tại OT.01'.
3. Thực hiện thao tác cụ thể:
1) 'Thêm mới' công thức hợp lệ
2) Mở OT.01
4. Nhấn nút 'Xác nhận' hoặc 'Hoàn tất' (tùy màn hình).
5. Kiểm tra thông báo hiển thị trên giao diện.
6. Kiểm tra trạng thái bản ghi tại 'Tác vụ chờ duyệt' (nếu là Happy path).</t>
        </is>
      </c>
      <c r="J19" s="23" t="inlineStr">
        <is>
          <t>(i) Nghiệp vụ/Logic: Thông tin được xử lý thành công và lưu trữ toàn vẹn dữ liệu.
(ii) UI: Thông báo 'Thao tác thành công'.
(iii) Trạng thái: 'Chờ duyệt' (Maker tạo mới).</t>
        </is>
      </c>
      <c r="K19" s="23" t="inlineStr">
        <is>
          <t>II.5.1.2</t>
        </is>
      </c>
      <c r="L19" s="23" t="inlineStr">
        <is>
          <t>BR_07</t>
        </is>
      </c>
      <c r="M19" s="23" t="inlineStr">
        <is>
          <t>BR_07-TC</t>
        </is>
      </c>
      <c r="N19" s="23" t="n"/>
      <c r="O19" s="23" t="n"/>
      <c r="P19" s="23" t="n"/>
      <c r="Q19" s="23" t="n"/>
      <c r="R19" s="23" t="n"/>
      <c r="S19" s="23" t="n"/>
      <c r="T19" s="23" t="n"/>
      <c r="U19" s="23">
        <f>IF(R19&lt;&gt;"", R19, O19)</f>
        <v/>
      </c>
    </row>
    <row r="20" ht="160" customHeight="1" s="17">
      <c r="A20" s="23" t="inlineStr">
        <is>
          <t>PR02-BR_07-NEG-018</t>
        </is>
      </c>
      <c r="B20" s="23" t="inlineStr">
        <is>
          <t>PR.02</t>
        </is>
      </c>
      <c r="C20" s="23" t="inlineStr">
        <is>
          <t>BR-based: Pending có trạng thái 'Chờ duyệt' tại OT.01</t>
        </is>
      </c>
      <c r="D20" s="23" t="inlineStr">
        <is>
          <t>Kiểm tra lỗi: Chặn và báo lỗi khi Pending có trạng thái 'Chờ duyệt' tại OT.01</t>
        </is>
      </c>
      <c r="E20" s="23" t="inlineStr">
        <is>
          <t>Negative</t>
        </is>
      </c>
      <c r="F20" s="23" t="inlineStr">
        <is>
          <t>Regression</t>
        </is>
      </c>
      <c r="G20" s="23" t="inlineStr">
        <is>
          <t>P2</t>
        </is>
      </c>
      <c r="H20" s="23" t="inlineStr">
        <is>
          <t>1. Đăng nhập Maker mở màn PR 02 'Công thức tính phí' có quyền tạo/sửa ngày hệ thống=T dữ liệu nền có ≥1 công thức đã duyệt.</t>
        </is>
      </c>
      <c r="I20" s="23" t="inlineStr">
        <is>
          <t>1. Đăng nhập hệ thống với vai trò Maker.
2. Điều hướng đến màn hình 'BR-based: Pending có trạng thái 'Chờ duyệt' tại OT.01'.
3. Thực hiện thao tác cụ thể:
1) Submit hợp lệ
2) Kiểm tra OT.01
4. Nhấn nút 'Xác nhận' hoặc 'Hoàn tất' (tùy màn hình).
5. Kiểm tra thông báo hiển thị trên giao diện.
6. Kiểm tra trạng thái bản ghi tại 'Tác vụ chờ duyệt' (nếu là Happy path).</t>
        </is>
      </c>
      <c r="J20"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20" s="23" t="inlineStr">
        <is>
          <t>II.5.1.2</t>
        </is>
      </c>
      <c r="L20" s="23" t="inlineStr">
        <is>
          <t>BR_07</t>
        </is>
      </c>
      <c r="M20" s="23" t="inlineStr">
        <is>
          <t>BR_07-TC</t>
        </is>
      </c>
      <c r="N20" s="23" t="n"/>
      <c r="O20" s="23" t="n"/>
      <c r="P20" s="23" t="n"/>
      <c r="Q20" s="23" t="n"/>
      <c r="R20" s="23" t="n"/>
      <c r="S20" s="23" t="n"/>
      <c r="T20" s="23" t="n"/>
      <c r="U20" s="23">
        <f>IF(R20&lt;&gt;"", R20, O20)</f>
        <v/>
      </c>
    </row>
    <row r="21" ht="15.75" customHeight="1" s="17">
      <c r="A21" s="23" t="inlineStr">
        <is>
          <t>PR02-BR_08-HAP-019</t>
        </is>
      </c>
      <c r="B21" s="23" t="inlineStr">
        <is>
          <t>PR.02</t>
        </is>
      </c>
      <c r="C21" s="23" t="inlineStr">
        <is>
          <t>BR-based: 'Ngày tạo' auto (YYYY-MM-DD HH:MM:SS)</t>
        </is>
      </c>
      <c r="D21" s="23" t="inlineStr">
        <is>
          <t>Kiểm tra thành công: Luồng SS)</t>
        </is>
      </c>
      <c r="E21" s="23" t="inlineStr">
        <is>
          <t>Happy</t>
        </is>
      </c>
      <c r="F21" s="23" t="inlineStr">
        <is>
          <t>Regression</t>
        </is>
      </c>
      <c r="G21" s="23" t="inlineStr">
        <is>
          <t>P3</t>
        </is>
      </c>
      <c r="H21" s="23" t="inlineStr">
        <is>
          <t>1. Đăng nhập Maker mở màn PR 02 'Công thức tính phí' có quyền tạo/sửa ngày hệ thống=T dữ liệu nền có ≥1 công thức đã duyệt.</t>
        </is>
      </c>
      <c r="I21" s="23" t="inlineStr">
        <is>
          <t>1. Đăng nhập hệ thống với vai trò Maker.
2. Điều hướng đến màn hình 'BR-based: 'Ngày tạo' auto (YYYY-MM-DD HH:MM:SS)'.
3. Thực hiện thao tác cụ thể:
1) Tạo 'Thêm mới'
2) Mở chi tiết tác vụ
3) Sau duyệt xem metadata
4. Nhấn nút 'Xác nhận' hoặc 'Hoàn tất' (tùy màn hình).
5. Kiểm tra thông báo hiển thị trên giao diện.
6. Kiểm tra trạng thái bản ghi tại 'Tác vụ chờ duyệt' (nếu là Happy path).</t>
        </is>
      </c>
      <c r="J21" s="23" t="inlineStr">
        <is>
          <t>(i) Nghiệp vụ/Logic: Thông tin được xử lý thành công và lưu trữ toàn vẹn dữ liệu.
(ii) UI: Thông báo 'Thao tác thành công'.
(iii) Trạng thái: 'Chờ duyệt' (Maker tạo mới).</t>
        </is>
      </c>
      <c r="K21" s="23" t="inlineStr">
        <is>
          <t>II.5.1.2</t>
        </is>
      </c>
      <c r="L21" s="23" t="inlineStr">
        <is>
          <t>BR_08</t>
        </is>
      </c>
      <c r="M21" s="23" t="inlineStr">
        <is>
          <t>BR_08-TC</t>
        </is>
      </c>
      <c r="N21" s="23" t="n"/>
      <c r="O21" s="23" t="n"/>
      <c r="P21" s="23" t="n"/>
      <c r="Q21" s="23" t="n"/>
      <c r="R21" s="23" t="n"/>
      <c r="S21" s="23" t="n"/>
      <c r="T21" s="23" t="n"/>
      <c r="U21" s="23">
        <f>IF(R21&lt;&gt;"", R21, O21)</f>
        <v/>
      </c>
    </row>
    <row r="22" ht="15.75" customHeight="1" s="17">
      <c r="A22" s="23" t="inlineStr">
        <is>
          <t>PR02-BR_08-NEG-020</t>
        </is>
      </c>
      <c r="B22" s="23" t="inlineStr">
        <is>
          <t>PR.02</t>
        </is>
      </c>
      <c r="C22" s="23" t="inlineStr">
        <is>
          <t>BR-based: 'Ngày tạo' auto (YYYY-MM-DD HH:MM:SS)</t>
        </is>
      </c>
      <c r="D22" s="23" t="inlineStr">
        <is>
          <t>Kiểm tra lỗi: Chặn và báo lỗi khi SS)</t>
        </is>
      </c>
      <c r="E22" s="23" t="inlineStr">
        <is>
          <t>Negative</t>
        </is>
      </c>
      <c r="F22" s="23" t="inlineStr">
        <is>
          <t>Regression</t>
        </is>
      </c>
      <c r="G22" s="23" t="inlineStr">
        <is>
          <t>P3</t>
        </is>
      </c>
      <c r="H22" s="23" t="inlineStr">
        <is>
          <t>1. Đăng nhập Maker mở màn PR 02 'Công thức tính phí' có quyền tạo/sửa ngày hệ thống=T dữ liệu nền có ≥1 công thức đã duyệt.</t>
        </is>
      </c>
      <c r="I22" s="23" t="inlineStr">
        <is>
          <t>1. Đăng nhập hệ thống với vai trò Maker.
2. Điều hướng đến màn hình 'BR-based: 'Ngày tạo' auto (YYYY-MM-DD HH:MM:SS)'.
3. Thực hiện thao tác cụ thể:
1) Tạo bản ghi
2) Kiểm tra timezone/định dạng
4. Nhấn nút 'Xác nhận' hoặc 'Hoàn tất' (tùy màn hình).
5. Kiểm tra thông báo hiển thị trên giao diện.
6. Kiểm tra trạng thái bản ghi tại 'Tác vụ chờ duyệt' (nếu là Happy path).</t>
        </is>
      </c>
      <c r="J22"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22" s="23" t="inlineStr">
        <is>
          <t>II.5.1.2</t>
        </is>
      </c>
      <c r="L22" s="23" t="inlineStr">
        <is>
          <t>BR_08</t>
        </is>
      </c>
      <c r="M22" s="23" t="inlineStr">
        <is>
          <t>BR_08-TC</t>
        </is>
      </c>
      <c r="N22" s="23" t="n"/>
      <c r="O22" s="23" t="n"/>
      <c r="P22" s="23" t="n"/>
      <c r="Q22" s="23" t="n"/>
      <c r="R22" s="23" t="n"/>
      <c r="S22" s="23" t="n"/>
      <c r="T22" s="23" t="n"/>
      <c r="U22" s="23">
        <f>IF(R22&lt;&gt;"", R22, O22)</f>
        <v/>
      </c>
    </row>
    <row r="23" ht="15.75" customHeight="1" s="17">
      <c r="A23" s="23" t="inlineStr">
        <is>
          <t>PR02-BR_09-HAP-021</t>
        </is>
      </c>
      <c r="B23" s="23" t="inlineStr">
        <is>
          <t>PR.02</t>
        </is>
      </c>
      <c r="C23" s="23" t="inlineStr">
        <is>
          <t>BR-based: 'Người tạo' = username Maker</t>
        </is>
      </c>
      <c r="D23" s="23" t="inlineStr">
        <is>
          <t>Kiểm tra thành công: Luồng 'Người tạo' = username Maker</t>
        </is>
      </c>
      <c r="E23" s="23" t="inlineStr">
        <is>
          <t>Happy</t>
        </is>
      </c>
      <c r="F23" s="23" t="inlineStr">
        <is>
          <t>Regression</t>
        </is>
      </c>
      <c r="G23" s="23" t="inlineStr">
        <is>
          <t>P3</t>
        </is>
      </c>
      <c r="H23" s="23" t="inlineStr">
        <is>
          <t>1. Đăng nhập Maker mở màn PR 02 'Công thức tính phí' có quyền tạo/sửa ngày hệ thống=T dữ liệu nền có ≥1 công thức đã duyệt.</t>
        </is>
      </c>
      <c r="I23" s="23" t="inlineStr">
        <is>
          <t>1. Đăng nhập hệ thống với vai trò Maker.
2. Điều hướng đến màn hình 'BR-based: 'Người tạo' = username Maker'.
3. Thực hiện thao tác cụ thể:
1) Đăng nhập Maker A
2) Tạo công thức
3) Kiểm tra 'Người tạo'
4. Nhấn nút 'Xác nhận' hoặc 'Hoàn tất' (tùy màn hình).
5. Kiểm tra thông báo hiển thị trên giao diện.
6. Kiểm tra trạng thái bản ghi tại 'Tác vụ chờ duyệt' (nếu là Happy path).</t>
        </is>
      </c>
      <c r="J23" s="23" t="inlineStr">
        <is>
          <t>(i) Nghiệp vụ/Logic: Thông tin được xử lý thành công và lưu trữ toàn vẹn dữ liệu.
(ii) UI: Thông báo 'Thao tác thành công'.
(iii) Trạng thái: 'Chờ duyệt' (Maker tạo mới).</t>
        </is>
      </c>
      <c r="K23" s="23" t="inlineStr">
        <is>
          <t>II.5.1.2</t>
        </is>
      </c>
      <c r="L23" s="23" t="inlineStr">
        <is>
          <t>BR_09</t>
        </is>
      </c>
      <c r="M23" s="23" t="inlineStr">
        <is>
          <t>BR_09-TC</t>
        </is>
      </c>
      <c r="N23" s="23" t="n"/>
      <c r="O23" s="23" t="n"/>
      <c r="P23" s="23" t="n"/>
      <c r="Q23" s="23" t="n"/>
      <c r="R23" s="23" t="n"/>
      <c r="S23" s="23" t="n"/>
      <c r="T23" s="23" t="n"/>
      <c r="U23" s="23">
        <f>IF(R23&lt;&gt;"", R23, O23)</f>
        <v/>
      </c>
    </row>
    <row r="24" ht="15.75" customHeight="1" s="17">
      <c r="A24" s="23" t="inlineStr">
        <is>
          <t>PR02-BR_09-NEG-022</t>
        </is>
      </c>
      <c r="B24" s="23" t="inlineStr">
        <is>
          <t>PR.02</t>
        </is>
      </c>
      <c r="C24" s="23" t="inlineStr">
        <is>
          <t>BR-based: 'Người tạo' = username Maker</t>
        </is>
      </c>
      <c r="D24" s="23" t="inlineStr">
        <is>
          <t>Kiểm tra lỗi: Chặn và báo lỗi khi 'Người tạo' = username Maker</t>
        </is>
      </c>
      <c r="E24" s="23" t="inlineStr">
        <is>
          <t>Negative</t>
        </is>
      </c>
      <c r="F24" s="23" t="inlineStr">
        <is>
          <t>Regression</t>
        </is>
      </c>
      <c r="G24" s="23" t="inlineStr">
        <is>
          <t>P2</t>
        </is>
      </c>
      <c r="H24" s="23" t="inlineStr">
        <is>
          <t>1. Đăng nhập Maker mở màn PR 02 'Công thức tính phí' có quyền tạo/sửa ngày hệ thống=T dữ liệu nền có ≥1 công thức đã duyệt.</t>
        </is>
      </c>
      <c r="I24" s="23" t="inlineStr">
        <is>
          <t>1. Đăng nhập hệ thống với vai trò Maker.
2. Điều hướng đến màn hình 'BR-based: 'Người tạo' = username Maker'.
3. Thực hiện thao tác cụ thể:
1) Đăng nhập Maker B
2) Tạo công thức
3) Kiểm tra 'Người tạo'
4. Nhấn nút 'Xác nhận' hoặc 'Hoàn tất' (tùy màn hình).
5. Kiểm tra thông báo hiển thị trên giao diện.
6. Kiểm tra trạng thái bản ghi tại 'Tác vụ chờ duyệt' (nếu là Happy path).</t>
        </is>
      </c>
      <c r="J24"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24" s="23" t="inlineStr">
        <is>
          <t>II.5.1.2</t>
        </is>
      </c>
      <c r="L24" s="23" t="inlineStr">
        <is>
          <t>BR_09</t>
        </is>
      </c>
      <c r="M24" s="23" t="inlineStr">
        <is>
          <t>BR_09-TC</t>
        </is>
      </c>
      <c r="N24" s="23" t="n"/>
      <c r="O24" s="23" t="n"/>
      <c r="P24" s="23" t="n"/>
      <c r="Q24" s="23" t="n"/>
      <c r="R24" s="23" t="n"/>
      <c r="S24" s="23" t="n"/>
      <c r="T24" s="23" t="n"/>
      <c r="U24" s="23">
        <f>IF(R24&lt;&gt;"", R24, O24)</f>
        <v/>
      </c>
    </row>
    <row r="25" ht="15.75" customHeight="1" s="17">
      <c r="A25" s="23" t="inlineStr">
        <is>
          <t>PR02-UI-01-HAP-001</t>
        </is>
      </c>
      <c r="B25" s="23" t="inlineStr">
        <is>
          <t>PR.02</t>
        </is>
      </c>
      <c r="C25" s="23" t="inlineStr">
        <is>
          <t>UI-FUNC.01 – Thêm mới</t>
        </is>
      </c>
      <c r="D25" s="23" t="inlineStr">
        <is>
          <t>Kiểm tra nút Đóng: Đảm bảo không lưu dữ liệu và thoát form</t>
        </is>
      </c>
      <c r="E25" s="23" t="inlineStr">
        <is>
          <t>Happy</t>
        </is>
      </c>
      <c r="F25" s="23" t="inlineStr">
        <is>
          <t>Smoke</t>
        </is>
      </c>
      <c r="G25" s="23" t="inlineStr">
        <is>
          <t>P1</t>
        </is>
      </c>
      <c r="H25" s="23" t="inlineStr">
        <is>
          <t>1. Đăng nhập Maker mở PR có ≥1 công thức đã duyệt để thao tác UI.</t>
        </is>
      </c>
      <c r="I25" s="23" t="inlineStr">
        <is>
          <t>1. Đăng nhập hệ thống với vai trò Maker.
2. Điều hướng đến màn hình 'UI-FUNC.01 – Thêm mới'.
3. Thực hiện thao tác cụ thể:
1) Mở màn Công thức
2) Nhấn 'Thêm mới'
4. Nhấn nút 'Xác nhận' hoặc 'Hoàn tất' (tùy màn hình).
5. Kiểm tra thông báo hiển thị trên giao diện.
6. Kiểm tra trạng thái bản ghi tại 'Tác vụ chờ duyệt' (nếu là Happy path).</t>
        </is>
      </c>
      <c r="J25" s="23" t="inlineStr">
        <is>
          <t>(i) Nghiệp vụ/Logic: Hệ thống không lưu thông tin đã nhập.
(ii) UI: Đóng form quay về màn trước.
(iii) Trạng thái: Không tạo bản ghi chờ duyệt.</t>
        </is>
      </c>
      <c r="K25" s="23" t="inlineStr">
        <is>
          <t>II.5.1.2</t>
        </is>
      </c>
      <c r="L25" s="23" t="inlineStr">
        <is>
          <t>UI-FUNC.01</t>
        </is>
      </c>
      <c r="M25" s="23" t="inlineStr">
        <is>
          <t>UI-ADD-NAV</t>
        </is>
      </c>
      <c r="N25" s="23" t="inlineStr">
        <is>
          <t>Note only: không lặp BR (mandatory/unique/3 cấu phần/audit/visibility).</t>
        </is>
      </c>
      <c r="O25" s="23" t="n"/>
      <c r="P25" s="23" t="n"/>
      <c r="Q25" s="23" t="n"/>
      <c r="R25" s="23" t="n"/>
      <c r="S25" s="23" t="n"/>
      <c r="T25" s="23" t="n"/>
      <c r="U25" s="23">
        <f>IF(R25&lt;&gt;"", R25, O25)</f>
        <v/>
      </c>
    </row>
    <row r="26" ht="15.75" customHeight="1" s="17">
      <c r="A26" s="23" t="inlineStr">
        <is>
          <t>PR02-UI-01-BOU-002</t>
        </is>
      </c>
      <c r="B26" s="23" t="inlineStr">
        <is>
          <t>PR.02</t>
        </is>
      </c>
      <c r="C26" s="23" t="inlineStr">
        <is>
          <t>UI-FUNC.01 – Thêm mới</t>
        </is>
      </c>
      <c r="D26" s="23" t="inlineStr">
        <is>
          <t>Kiểm tra nút Đóng: Đảm bảo không lưu dữ liệu và thoát form</t>
        </is>
      </c>
      <c r="E26" s="23" t="inlineStr">
        <is>
          <t>Boundary</t>
        </is>
      </c>
      <c r="F26" s="23" t="inlineStr">
        <is>
          <t>Regression</t>
        </is>
      </c>
      <c r="G26" s="23" t="inlineStr">
        <is>
          <t>P3</t>
        </is>
      </c>
      <c r="H26" s="23" t="inlineStr">
        <is>
          <t>1. Đăng nhập Maker mở PR có ≥1 công thức đã duyệt để thao tác UI.</t>
        </is>
      </c>
      <c r="I26" s="23" t="inlineStr">
        <is>
          <t>1. Đăng nhập hệ thống với vai trò Maker.
2. Điều hướng đến màn hình 'UI-FUNC.01 – Thêm mới'.
3. Thực hiện thao tác cụ thể:
1) Nhập nháp một số trường
2) Nhấn 'Đóng'
3) Mở lại form
4. Nhấn nút 'Xác nhận' hoặc 'Hoàn tất' (tùy màn hình).
5. Kiểm tra thông báo hiển thị trên giao diện.
6. Kiểm tra trạng thái bản ghi tại 'Tác vụ chờ duyệt' (nếu là Happy path).</t>
        </is>
      </c>
      <c r="J26" s="23" t="inlineStr">
        <is>
          <t>(i) Nghiệp vụ/Logic: Hệ thống không lưu thông tin đã nhập.
(ii) UI: Đóng form quay về màn trước.
(iii) Trạng thái: Không tạo bản ghi chờ duyệt.</t>
        </is>
      </c>
      <c r="K26" s="23" t="inlineStr">
        <is>
          <t>II.5.1.2</t>
        </is>
      </c>
      <c r="L26" s="23" t="inlineStr">
        <is>
          <t>UI-FUNC.01</t>
        </is>
      </c>
      <c r="M26" s="23" t="inlineStr">
        <is>
          <t>UI-ADD-CLOSE</t>
        </is>
      </c>
      <c r="N26" s="23" t="inlineStr">
        <is>
          <t>Note only: không lặp BR (mandatory/unique/3 cấu phần/audit/visibility).</t>
        </is>
      </c>
      <c r="O26" s="23" t="n"/>
      <c r="P26" s="23" t="n"/>
      <c r="Q26" s="23" t="n"/>
      <c r="R26" s="23" t="n"/>
      <c r="S26" s="23" t="n"/>
      <c r="T26" s="23" t="n"/>
      <c r="U26" s="23">
        <f>IF(R26&lt;&gt;"", R26, O26)</f>
        <v/>
      </c>
    </row>
    <row r="27" ht="15.75" customHeight="1" s="17">
      <c r="A27" s="23" t="inlineStr">
        <is>
          <t>PR02-UI-01-NEG-003</t>
        </is>
      </c>
      <c r="B27" s="23" t="inlineStr">
        <is>
          <t>PR.02</t>
        </is>
      </c>
      <c r="C27" s="23" t="inlineStr">
        <is>
          <t>UI-FUNC.01 – Thêm mới</t>
        </is>
      </c>
      <c r="D27" s="23" t="inlineStr">
        <is>
          <t>Kiểm tra nút Đóng: Đảm bảo không lưu dữ liệu và thoát form</t>
        </is>
      </c>
      <c r="E27" s="23" t="inlineStr">
        <is>
          <t>Negative</t>
        </is>
      </c>
      <c r="F27" s="23" t="inlineStr">
        <is>
          <t>Regression</t>
        </is>
      </c>
      <c r="G27" s="23" t="inlineStr">
        <is>
          <t>P2</t>
        </is>
      </c>
      <c r="H27" s="23" t="inlineStr">
        <is>
          <t>1. Đăng nhập Maker mở PR có ≥1 công thức đã duyệt để thao tác UI.</t>
        </is>
      </c>
      <c r="I27" s="23" t="inlineStr">
        <is>
          <t>1. Đăng nhập hệ thống với vai trò Maker.
2. Điều hướng đến màn hình 'UI-FUNC.01 – Thêm mới'.
3. Thực hiện thao tác cụ thể:
1) User không có quyền Maker đăng nhập
2) Mở PR.02
4. Nhấn nút 'Xác nhận' hoặc 'Hoàn tất' (tùy màn hình).
5. Kiểm tra thông báo hiển thị trên giao diện.
6. Kiểm tra trạng thái bản ghi tại 'Tác vụ chờ duyệt' (nếu là Happy path).</t>
        </is>
      </c>
      <c r="J27" s="23" t="inlineStr">
        <is>
          <t>(i) Nghiệp vụ/Logic: Hệ thống không lưu thông tin đã nhập.
(ii) UI: Đóng form quay về màn trước.
(iii) Trạng thái: Không tạo bản ghi chờ duyệt.</t>
        </is>
      </c>
      <c r="K27" s="23" t="inlineStr">
        <is>
          <t>II.5.1.2</t>
        </is>
      </c>
      <c r="L27" s="23" t="inlineStr">
        <is>
          <t>UI-FUNC.01</t>
        </is>
      </c>
      <c r="M27" s="23" t="inlineStr">
        <is>
          <t>UI-ADD-PERM</t>
        </is>
      </c>
      <c r="N27" s="23" t="inlineStr">
        <is>
          <t>Note only: không lặp BR (mandatory/unique/3 cấu phần/audit/visibility).</t>
        </is>
      </c>
      <c r="O27" s="23" t="n"/>
      <c r="P27" s="23" t="n"/>
      <c r="Q27" s="23" t="n"/>
      <c r="R27" s="23" t="n"/>
      <c r="S27" s="23" t="n"/>
      <c r="T27" s="23" t="n"/>
      <c r="U27" s="23">
        <f>IF(R27&lt;&gt;"", R27, O27)</f>
        <v/>
      </c>
    </row>
    <row r="28" ht="15.75" customHeight="1" s="17">
      <c r="A28" s="23" t="inlineStr">
        <is>
          <t>PR02-UI-01-INT-004</t>
        </is>
      </c>
      <c r="B28" s="23" t="inlineStr">
        <is>
          <t>PR.02</t>
        </is>
      </c>
      <c r="C28" s="23" t="inlineStr">
        <is>
          <t>UI-FUNC.01 – Thêm mới</t>
        </is>
      </c>
      <c r="D28" s="23" t="inlineStr">
        <is>
          <t>Kiểm tra nút Đóng: Đảm bảo không lưu dữ liệu và thoát form</t>
        </is>
      </c>
      <c r="E28" s="23" t="inlineStr">
        <is>
          <t>Integration</t>
        </is>
      </c>
      <c r="F28" s="23" t="inlineStr">
        <is>
          <t>Regression</t>
        </is>
      </c>
      <c r="G28" s="23" t="inlineStr">
        <is>
          <t>P2</t>
        </is>
      </c>
      <c r="H28" s="23" t="inlineStr">
        <is>
          <t>1. Đăng nhập Maker mở PR có ≥1 công thức đã duyệt để thao tác UI.</t>
        </is>
      </c>
      <c r="I28" s="23" t="inlineStr">
        <is>
          <t>1. Đăng nhập hệ thống với vai trò Maker.
2. Điều hướng đến màn hình 'UI-FUNC.01 – Thêm mới'.
3. Thực hiện thao tác cụ thể:
1) Từ Code phí
(PR.
01) chọn 'Gắn công thức'
2) Điều hướng về PR.02 form tạo
(deep-link)
4. Nhấn nút 'Xác nhận' hoặc 'Hoàn tất' (tùy màn hình).
5. Kiểm tra thông báo hiển thị trên giao diện.
6. Kiểm tra trạng thái bản ghi tại 'Tác vụ chờ duyệt' (nếu là Happy path).</t>
        </is>
      </c>
      <c r="J28" s="23" t="inlineStr">
        <is>
          <t>(i) Nghiệp vụ/Logic: Hệ thống không lưu thông tin đã nhập.
(ii) UI: Đóng form quay về màn trước.
(iii) Trạng thái: Không tạo bản ghi chờ duyệt.</t>
        </is>
      </c>
      <c r="K28" s="23" t="inlineStr">
        <is>
          <t>II.5.1.2</t>
        </is>
      </c>
      <c r="L28" s="23" t="inlineStr">
        <is>
          <t>UI-FUNC.01</t>
        </is>
      </c>
      <c r="M28" s="23" t="inlineStr">
        <is>
          <t>UI-ADD-DEEPLINK</t>
        </is>
      </c>
      <c r="N28" s="23" t="inlineStr">
        <is>
          <t>Note only: không lặp BR (mandatory/unique/3 cấu phần/audit/visibility).</t>
        </is>
      </c>
      <c r="O28" s="23" t="n"/>
      <c r="P28" s="23" t="n"/>
      <c r="Q28" s="23" t="n"/>
      <c r="R28" s="23" t="n"/>
      <c r="S28" s="23" t="n"/>
      <c r="T28" s="23" t="n"/>
      <c r="U28" s="23">
        <f>IF(R28&lt;&gt;"", R28, O28)</f>
        <v/>
      </c>
    </row>
    <row r="29" ht="15.75" customHeight="1" s="17">
      <c r="A29" s="23" t="inlineStr">
        <is>
          <t>PR02-UI-02-HAP-001</t>
        </is>
      </c>
      <c r="B29" s="23" t="inlineStr">
        <is>
          <t>PR.02</t>
        </is>
      </c>
      <c r="C29" s="23" t="inlineStr">
        <is>
          <t>UI-FUNC.02 – Xem</t>
        </is>
      </c>
      <c r="D29" s="23" t="inlineStr">
        <is>
          <t>Kiểm tra thành công: Luồng Modal/Panel read-only; paging/scroll</t>
        </is>
      </c>
      <c r="E29" s="23" t="inlineStr">
        <is>
          <t>Happy</t>
        </is>
      </c>
      <c r="F29" s="23" t="inlineStr">
        <is>
          <t>Regression</t>
        </is>
      </c>
      <c r="G29" s="23" t="inlineStr">
        <is>
          <t>P2</t>
        </is>
      </c>
      <c r="H29" s="23" t="inlineStr">
        <is>
          <t>1. Đăng nhập Maker mở PR có ≥1 công thức đã duyệt để thao tác UI.</t>
        </is>
      </c>
      <c r="I29" s="23" t="inlineStr">
        <is>
          <t>1. Đăng nhập hệ thống với vai trò Maker.
2. Điều hướng đến màn hình 'UI-FUNC.02 – Xem'.
3. Thực hiện thao tác cụ thể:
1) Chọn 1 công thức đã duyệt
2) Nhấn 'Xem'
4. Nhấn nút 'Xác nhận' hoặc 'Hoàn tất' (tùy màn hình).
5. Kiểm tra thông báo hiển thị trên giao diện.
6. Kiểm tra trạng thái bản ghi tại 'Tác vụ chờ duyệt' (nếu là Happy path).</t>
        </is>
      </c>
      <c r="J29" s="23" t="inlineStr">
        <is>
          <t>(i) Nghiệp vụ/Logic: Thông tin được xử lý thành công và lưu trữ toàn vẹn dữ liệu.
(ii) UI: Thông báo 'Thao tác thành công'.
(iii) Trạng thái: 'Chờ duyệt' (Maker tạo mới).</t>
        </is>
      </c>
      <c r="K29" s="23" t="inlineStr">
        <is>
          <t>II.5.1.2</t>
        </is>
      </c>
      <c r="L29" s="23" t="inlineStr">
        <is>
          <t>UI-FUNC.02</t>
        </is>
      </c>
      <c r="M29" s="23" t="inlineStr">
        <is>
          <t>UI-VIEW</t>
        </is>
      </c>
      <c r="N29" s="23" t="inlineStr">
        <is>
          <t>Note only: không lặp BR (mandatory/unique/3 cấu phần/audit/visibility).</t>
        </is>
      </c>
      <c r="O29" s="23" t="n"/>
      <c r="P29" s="23" t="n"/>
      <c r="Q29" s="23" t="n"/>
      <c r="R29" s="23" t="n"/>
      <c r="S29" s="23" t="n"/>
      <c r="T29" s="23" t="n"/>
      <c r="U29" s="23">
        <f>IF(R29&lt;&gt;"", R29, O29)</f>
        <v/>
      </c>
    </row>
    <row r="30" ht="15.75" customHeight="1" s="17">
      <c r="A30" s="23" t="inlineStr">
        <is>
          <t>PR02-UI-02-BOU-002</t>
        </is>
      </c>
      <c r="B30" s="23" t="inlineStr">
        <is>
          <t>PR.02</t>
        </is>
      </c>
      <c r="C30" s="23" t="inlineStr">
        <is>
          <t>UI-FUNC.02 – Xem</t>
        </is>
      </c>
      <c r="D30" s="23" t="inlineStr">
        <is>
          <t>Kiểm tra biên: Xác minh giới hạn của Modal/Panel read-only; paging/scroll</t>
        </is>
      </c>
      <c r="E30" s="23" t="inlineStr">
        <is>
          <t>Boundary</t>
        </is>
      </c>
      <c r="F30" s="23" t="inlineStr">
        <is>
          <t>Regression</t>
        </is>
      </c>
      <c r="G30" s="23" t="inlineStr">
        <is>
          <t>P3</t>
        </is>
      </c>
      <c r="H30" s="23" t="inlineStr">
        <is>
          <t>1. Đăng nhập Maker mở PR có ≥1 công thức đã duyệt để thao tác UI.</t>
        </is>
      </c>
      <c r="I30" s="23" t="inlineStr">
        <is>
          <t>1. Đăng nhập hệ thống với vai trò Maker.
2. Điều hướng đến màn hình 'UI-FUNC.02 – Xem'.
3. Thực hiện thao tác cụ thể:
1) Lưới &gt;50 bản ghi
2) Cuộn/paginate rồi chọn 'Xem'
4. Nhấn nút 'Xác nhận' hoặc 'Hoàn tất' (tùy màn hình).
5. Kiểm tra thông báo hiển thị trên giao diện.
6. Kiểm tra trạng thái bản ghi tại 'Tác vụ chờ duyệt' (nếu là Happy path).</t>
        </is>
      </c>
      <c r="J30" s="23" t="inlineStr">
        <is>
          <t>(i) Nghiệp vụ/Logic: Hệ thống xử lý đúng quy định tại giá trị biên (Min/Max/Limit).
(ii) UI: Hiển thị thông báo hoặc trạng thái tương ứng.
(iii) Trạng thái: Lưu hoặc Chặn tùy quy định.</t>
        </is>
      </c>
      <c r="K30" s="23" t="inlineStr">
        <is>
          <t>II.5.1.2</t>
        </is>
      </c>
      <c r="L30" s="23" t="inlineStr">
        <is>
          <t>UI-FUNC.02</t>
        </is>
      </c>
      <c r="M30" s="23" t="inlineStr">
        <is>
          <t>UI-VIEW-PAGING</t>
        </is>
      </c>
      <c r="N30" s="23" t="inlineStr">
        <is>
          <t>Note only: không lặp BR (mandatory/unique/3 cấu phần/audit/visibility).</t>
        </is>
      </c>
      <c r="O30" s="23" t="n"/>
      <c r="P30" s="23" t="n"/>
      <c r="Q30" s="23" t="n"/>
      <c r="R30" s="23" t="n"/>
      <c r="S30" s="23" t="n"/>
      <c r="T30" s="23" t="n"/>
      <c r="U30" s="23">
        <f>IF(R30&lt;&gt;"", R30, O30)</f>
        <v/>
      </c>
    </row>
    <row r="31" ht="15.75" customHeight="1" s="17">
      <c r="A31" s="23" t="inlineStr">
        <is>
          <t>PR02-UI-02-NEG-003</t>
        </is>
      </c>
      <c r="B31" s="23" t="inlineStr">
        <is>
          <t>PR.02</t>
        </is>
      </c>
      <c r="C31" s="23" t="inlineStr">
        <is>
          <t>UI-FUNC.02 – Xem</t>
        </is>
      </c>
      <c r="D31" s="23" t="inlineStr">
        <is>
          <t>Kiểm tra lỗi: Chặn và báo lỗi khi Modal/Panel read-only; paging/scroll</t>
        </is>
      </c>
      <c r="E31" s="23" t="inlineStr">
        <is>
          <t>Negative</t>
        </is>
      </c>
      <c r="F31" s="23" t="inlineStr">
        <is>
          <t>Regression</t>
        </is>
      </c>
      <c r="G31" s="23" t="inlineStr">
        <is>
          <t>P3</t>
        </is>
      </c>
      <c r="H31" s="23" t="inlineStr">
        <is>
          <t>1. Đăng nhập Maker mở PR có ≥1 công thức đã duyệt để thao tác UI.</t>
        </is>
      </c>
      <c r="I31" s="23" t="inlineStr">
        <is>
          <t>1. Đăng nhập hệ thống với vai trò Maker.
2. Điều hướng đến màn hình 'UI-FUNC.02 – Xem'.
3. Thực hiện thao tác cụ thể:
1) Không chọn bản ghi nào
2) Nhấn 'Xem'
4. Nhấn nút 'Xác nhận' hoặc 'Hoàn tất' (tùy màn hình).
5. Kiểm tra thông báo hiển thị trên giao diện.
6. Kiểm tra trạng thái bản ghi tại 'Tác vụ chờ duyệt' (nếu là Happy path).</t>
        </is>
      </c>
      <c r="J31"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1" s="23" t="inlineStr">
        <is>
          <t>II.5.1.2</t>
        </is>
      </c>
      <c r="L31" s="23" t="inlineStr">
        <is>
          <t>UI-FUNC.02</t>
        </is>
      </c>
      <c r="M31" s="23" t="inlineStr">
        <is>
          <t>UI-VIEW-NOSEL</t>
        </is>
      </c>
      <c r="N31" s="23" t="inlineStr">
        <is>
          <t>Note only: không lặp BR (mandatory/unique/3 cấu phần/audit/visibility).</t>
        </is>
      </c>
      <c r="O31" s="23" t="n"/>
      <c r="P31" s="23" t="n"/>
      <c r="Q31" s="23" t="n"/>
      <c r="R31" s="23" t="n"/>
      <c r="S31" s="23" t="n"/>
      <c r="T31" s="23" t="n"/>
      <c r="U31" s="23">
        <f>IF(R31&lt;&gt;"", R31, O31)</f>
        <v/>
      </c>
    </row>
    <row r="32" ht="15.75" customHeight="1" s="17">
      <c r="A32" s="23" t="inlineStr">
        <is>
          <t>PR02-UI-02-SEC-004</t>
        </is>
      </c>
      <c r="B32" s="23" t="inlineStr">
        <is>
          <t>PR.02</t>
        </is>
      </c>
      <c r="C32" s="23" t="inlineStr">
        <is>
          <t>UI-FUNC.02 – Xem</t>
        </is>
      </c>
      <c r="D32" s="23" t="inlineStr">
        <is>
          <t>UI: Modal/Panel read-only; paging/scroll</t>
        </is>
      </c>
      <c r="E32" s="23" t="inlineStr">
        <is>
          <t>Security</t>
        </is>
      </c>
      <c r="F32" s="23" t="inlineStr">
        <is>
          <t>Regression</t>
        </is>
      </c>
      <c r="G32" s="23" t="inlineStr">
        <is>
          <t>P2</t>
        </is>
      </c>
      <c r="H32" s="23" t="inlineStr">
        <is>
          <t>1. Đăng nhập Maker mở PR có ≥1 công thức đã duyệt để thao tác UI.</t>
        </is>
      </c>
      <c r="I32" s="23" t="inlineStr">
        <is>
          <t>1. Đăng nhập hệ thống với vai trò Maker.
2. Điều hướng đến màn hình 'UI-FUNC.02 – Xem'.
3. Thực hiện thao tác cụ thể:
1) Gọi trực tiếp URL xem chi tiết với ID không thuộc phân quyền
2) Truy cập
4. Nhấn nút 'Xác nhận' hoặc 'Hoàn tất' (tùy màn hình).
5. Kiểm tra thông báo hiển thị trên giao diện.
6. Kiểm tra trạng thái bản ghi tại 'Tác vụ chờ duyệt' (nếu là Happy path).</t>
        </is>
      </c>
      <c r="J32" s="23" t="inlineStr">
        <is>
          <t>(i) Nghiệp vụ/Logic: Thông tin được hệ thống xử lý đúng quy trình và lưu trữ toàn vẹn dữ liệu.
(ii) UI (Toast/Popup/Grid): Giao diện cập nhật trạng thái phản hồi tương ứng với thao tác của khách hàng.
(iii) Trạng thái/Audit log: Trạng thái bản ghi: 'Chờ duyệt'
(Pending). Hệ thống ghi log hành động: 'Maker tạo mới công thức'.</t>
        </is>
      </c>
      <c r="K32" s="23" t="inlineStr">
        <is>
          <t>II.5.1.2</t>
        </is>
      </c>
      <c r="L32" s="23" t="inlineStr">
        <is>
          <t>UI-FUNC.02</t>
        </is>
      </c>
      <c r="M32" s="23" t="inlineStr">
        <is>
          <t>UI-VIEW-AUTHZ</t>
        </is>
      </c>
      <c r="N32" s="23" t="inlineStr">
        <is>
          <t>Note only: không lặp BR (mandatory/unique/3 cấu phần/audit/visibility).</t>
        </is>
      </c>
      <c r="O32" s="23" t="n"/>
      <c r="P32" s="23" t="n"/>
      <c r="Q32" s="23" t="n"/>
      <c r="R32" s="23" t="n"/>
      <c r="S32" s="23" t="n"/>
      <c r="T32" s="23" t="n"/>
      <c r="U32" s="23">
        <f>IF(R32&lt;&gt;"", R32, O32)</f>
        <v/>
      </c>
    </row>
    <row r="33" ht="15.75" customHeight="1" s="17">
      <c r="A33" s="23" t="inlineStr">
        <is>
          <t>PR02-UI-03-HAP-001</t>
        </is>
      </c>
      <c r="B33" s="23" t="inlineStr">
        <is>
          <t>PR.02</t>
        </is>
      </c>
      <c r="C33" s="23" t="inlineStr">
        <is>
          <t>UI-FUNC.03 – Sửa</t>
        </is>
      </c>
      <c r="D33" s="23" t="inlineStr">
        <is>
          <t>Kiểm tra thành công: Luồng Vào form Edit; gửi qua OT.01 (Note); không test BR logic</t>
        </is>
      </c>
      <c r="E33" s="23" t="inlineStr">
        <is>
          <t>Happy</t>
        </is>
      </c>
      <c r="F33" s="23" t="inlineStr">
        <is>
          <t>Regression</t>
        </is>
      </c>
      <c r="G33" s="23" t="inlineStr">
        <is>
          <t>P2</t>
        </is>
      </c>
      <c r="H33" s="23" t="inlineStr">
        <is>
          <t>1. Đăng nhập Maker mở PR có ≥1 công thức đã duyệt để thao tác UI.</t>
        </is>
      </c>
      <c r="I33" s="23" t="inlineStr">
        <is>
          <t>1. Đăng nhập hệ thống với vai trò Maker.
2. Điều hướng đến màn hình 'UI-FUNC.03 – Sửa'.
3. Thực hiện thao tác cụ thể:
1) Chọn công thức đã duyệt
2) Nhấn 'Sửa'
4. Nhấn nút 'Xác nhận' hoặc 'Hoàn tất' (tùy màn hình).
5. Kiểm tra thông báo hiển thị trên giao diện.
6. Kiểm tra trạng thái bản ghi tại 'Tác vụ chờ duyệt' (nếu là Happy path).</t>
        </is>
      </c>
      <c r="J33" s="23" t="inlineStr">
        <is>
          <t>(i) Nghiệp vụ/Logic: Thông tin được xử lý thành công và lưu trữ toàn vẹn dữ liệu.
(ii) UI: Thông báo 'Thao tác thành công'.
(iii) Trạng thái: 'Chờ duyệt' (Maker tạo mới).</t>
        </is>
      </c>
      <c r="K33" s="23" t="inlineStr">
        <is>
          <t>II.5.1.2</t>
        </is>
      </c>
      <c r="L33" s="23" t="inlineStr">
        <is>
          <t>UI-FUNC.03</t>
        </is>
      </c>
      <c r="M33" s="23" t="inlineStr">
        <is>
          <t>UI-EDIT</t>
        </is>
      </c>
      <c r="N33" s="23" t="inlineStr">
        <is>
          <t>Note only: không lặp BR (mandatory/unique/3 cấu phần/audit/visibility).</t>
        </is>
      </c>
      <c r="O33" s="23" t="n"/>
      <c r="P33" s="23" t="n"/>
      <c r="Q33" s="23" t="n"/>
      <c r="R33" s="23" t="n"/>
      <c r="S33" s="23" t="n"/>
      <c r="T33" s="23" t="n"/>
      <c r="U33" s="23">
        <f>IF(R33&lt;&gt;"", R33, O33)</f>
        <v/>
      </c>
    </row>
    <row r="34" ht="15.75" customHeight="1" s="17">
      <c r="A34" s="23" t="inlineStr">
        <is>
          <t>PR02-UI-03-INT-002</t>
        </is>
      </c>
      <c r="B34" s="23" t="inlineStr">
        <is>
          <t>PR.02</t>
        </is>
      </c>
      <c r="C34" s="23" t="inlineStr">
        <is>
          <t>UI-FUNC.03 – Sửa</t>
        </is>
      </c>
      <c r="D34" s="23" t="inlineStr">
        <is>
          <t>UI: Vào form Edit; gửi qua OT.01 (Note); không test BR logic</t>
        </is>
      </c>
      <c r="E34" s="23" t="inlineStr">
        <is>
          <t>Integration</t>
        </is>
      </c>
      <c r="F34" s="23" t="inlineStr">
        <is>
          <t>Regression</t>
        </is>
      </c>
      <c r="G34" s="23" t="inlineStr">
        <is>
          <t>P2</t>
        </is>
      </c>
      <c r="H34" s="23" t="inlineStr">
        <is>
          <t>1. Đăng nhập Maker mở PR có ≥1 công thức đã duyệt để thao tác UI.</t>
        </is>
      </c>
      <c r="I34" s="23" t="inlineStr">
        <is>
          <t>1. Đăng nhập hệ thống với vai trò Maker.
2. Điều hướng đến màn hình 'UI-FUNC.03 – Sửa'.
3. Thực hiện thao tác cụ thể:
1) Sửa mô tả
2) 'Lưu'
4. Nhấn nút 'Xác nhận' hoặc 'Hoàn tất' (tùy màn hình).
5. Kiểm tra thông báo hiển thị trên giao diện.
6. Kiểm tra trạng thái bản ghi tại 'Tác vụ chờ duyệt' (nếu là Happy path).</t>
        </is>
      </c>
      <c r="J34" s="23" t="inlineStr">
        <is>
          <t>(i) Nghiệp vụ/Logic: Thông tin được hệ thống xử lý đúng quy trình và lưu trữ toàn vẹn dữ liệu.
(ii) UI (Toast/Popup/Grid): Giao diện cập nhật trạng thái phản hồi tương ứng với thao tác của khách hàng.
(iii) Trạng thái/Audit log: Trạng thái bản ghi: 'Chờ duyệt'
(Pending). Hệ thống ghi log hành động: 'Maker tạo mới công thức'.</t>
        </is>
      </c>
      <c r="K34" s="23" t="inlineStr">
        <is>
          <t>II.5.1.2</t>
        </is>
      </c>
      <c r="L34" s="23" t="inlineStr">
        <is>
          <t>UI-FUNC.03</t>
        </is>
      </c>
      <c r="M34" s="23" t="inlineStr">
        <is>
          <t>UI-EDIT-OT01</t>
        </is>
      </c>
      <c r="N34" s="23" t="inlineStr">
        <is>
          <t>Note only: không lặp BR (mandatory/unique/3 cấu phần/audit/visibility).</t>
        </is>
      </c>
      <c r="O34" s="23" t="n"/>
      <c r="P34" s="23" t="n"/>
      <c r="Q34" s="23" t="n"/>
      <c r="R34" s="23" t="n"/>
      <c r="S34" s="23" t="n"/>
      <c r="T34" s="23" t="n"/>
      <c r="U34" s="23">
        <f>IF(R34&lt;&gt;"", R34, O34)</f>
        <v/>
      </c>
    </row>
    <row r="35" ht="15.75" customHeight="1" s="17">
      <c r="A35" s="23" t="inlineStr">
        <is>
          <t>PR02-UI-03-NEG-003</t>
        </is>
      </c>
      <c r="B35" s="23" t="inlineStr">
        <is>
          <t>PR.02</t>
        </is>
      </c>
      <c r="C35" s="23" t="inlineStr">
        <is>
          <t>UI-FUNC.03 – Sửa</t>
        </is>
      </c>
      <c r="D35" s="23" t="inlineStr">
        <is>
          <t>Kiểm tra lỗi: Chặn và báo lỗi khi Vào form Edit; gửi qua OT.01 (Note); không test BR logic</t>
        </is>
      </c>
      <c r="E35" s="23" t="inlineStr">
        <is>
          <t>Negative</t>
        </is>
      </c>
      <c r="F35" s="23" t="inlineStr">
        <is>
          <t>Regression</t>
        </is>
      </c>
      <c r="G35" s="23" t="inlineStr">
        <is>
          <t>P2</t>
        </is>
      </c>
      <c r="H35" s="23" t="inlineStr">
        <is>
          <t>1. Đăng nhập Maker mở PR có ≥1 công thức đã duyệt để thao tác UI.</t>
        </is>
      </c>
      <c r="I35" s="23" t="inlineStr">
        <is>
          <t>1. Đăng nhập hệ thống với vai trò Maker.
2. Điều hướng đến màn hình 'UI-FUNC.03 – Sửa'.
3. Thực hiện thao tác cụ thể:
1) Chọn bản ghi pending
(Chờ duyệt) 2) Nhấn 'Sửa'
4. Nhấn nút 'Xác nhận' hoặc 'Hoàn tất' (tùy màn hình).
5. Kiểm tra thông báo hiển thị trên giao diện.
6. Kiểm tra trạng thái bản ghi tại 'Tác vụ chờ duyệt' (nếu là Happy path).</t>
        </is>
      </c>
      <c r="J35"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5" s="23" t="inlineStr">
        <is>
          <t>II.5.1.2</t>
        </is>
      </c>
      <c r="L35" s="23" t="inlineStr">
        <is>
          <t>UI-FUNC.03</t>
        </is>
      </c>
      <c r="M35" s="23" t="inlineStr">
        <is>
          <t>UI-EDIT-PENDING</t>
        </is>
      </c>
      <c r="N35" s="23" t="inlineStr">
        <is>
          <t>Note only: không lặp BR (mandatory/unique/3 cấu phần/audit/visibility).</t>
        </is>
      </c>
      <c r="O35" s="23" t="n"/>
      <c r="P35" s="23" t="n"/>
      <c r="Q35" s="23" t="n"/>
      <c r="R35" s="23" t="n"/>
      <c r="S35" s="23" t="n"/>
      <c r="T35" s="23" t="n"/>
      <c r="U35" s="23">
        <f>IF(R35&lt;&gt;"", R35, O35)</f>
        <v/>
      </c>
    </row>
    <row r="36" ht="15.75" customHeight="1" s="17">
      <c r="A36" s="23" t="inlineStr">
        <is>
          <t>PR02-UI-03-BOU-004</t>
        </is>
      </c>
      <c r="B36" s="23" t="inlineStr">
        <is>
          <t>PR.02</t>
        </is>
      </c>
      <c r="C36" s="23" t="inlineStr">
        <is>
          <t>UI-FUNC.03 – Sửa</t>
        </is>
      </c>
      <c r="D36" s="23" t="inlineStr">
        <is>
          <t>Kiểm tra biên: Xác minh giới hạn của Vào form Edit; gửi qua OT.01 (Note); không test BR logic</t>
        </is>
      </c>
      <c r="E36" s="23" t="inlineStr">
        <is>
          <t>Boundary</t>
        </is>
      </c>
      <c r="F36" s="23" t="inlineStr">
        <is>
          <t>Regression</t>
        </is>
      </c>
      <c r="G36" s="23" t="inlineStr">
        <is>
          <t>P3</t>
        </is>
      </c>
      <c r="H36" s="23" t="inlineStr">
        <is>
          <t>1. Đăng nhập Maker mở PR có ≥1 công thức đã duyệt để thao tác UI.</t>
        </is>
      </c>
      <c r="I36" s="23" t="inlineStr">
        <is>
          <t>1. Đăng nhập hệ thống với vai trò Maker.
2. Điều hướng đến màn hình 'UI-FUNC.03 – Sửa'.
3. Thực hiện thao tác cụ thể:
1) Sửa nhiều trường rồi nhấn 'Đóng' không lưu
2) Mở lại chi tiết
4. Nhấn nút 'Xác nhận' hoặc 'Hoàn tất' (tùy màn hình).
5. Kiểm tra thông báo hiển thị trên giao diện.
6. Kiểm tra trạng thái bản ghi tại 'Tác vụ chờ duyệt' (nếu là Happy path).</t>
        </is>
      </c>
      <c r="J36" s="23" t="inlineStr">
        <is>
          <t>(i) Nghiệp vụ/Logic: Hệ thống xử lý đúng quy định tại giá trị biên (Min/Max/Limit).
(ii) UI: Hiển thị thông báo hoặc trạng thái tương ứng.
(iii) Trạng thái: Lưu hoặc Chặn tùy quy định.</t>
        </is>
      </c>
      <c r="K36" s="23" t="inlineStr">
        <is>
          <t>II.5.1.2</t>
        </is>
      </c>
      <c r="L36" s="23" t="inlineStr">
        <is>
          <t>UI-FUNC.03</t>
        </is>
      </c>
      <c r="M36" s="23" t="inlineStr">
        <is>
          <t>UI-EDIT-CANCEL</t>
        </is>
      </c>
      <c r="N36" s="23" t="inlineStr">
        <is>
          <t>Note only: không lặp BR (mandatory/unique/3 cấu phần/audit/visibility).</t>
        </is>
      </c>
      <c r="O36" s="23" t="n"/>
      <c r="P36" s="23" t="n"/>
      <c r="Q36" s="23" t="n"/>
      <c r="R36" s="23" t="n"/>
      <c r="S36" s="23" t="n"/>
      <c r="T36" s="23" t="n"/>
      <c r="U36" s="23">
        <f>IF(R36&lt;&gt;"", R36, O36)</f>
        <v/>
      </c>
    </row>
    <row r="37" ht="15.75" customHeight="1" s="17">
      <c r="A37" s="23" t="inlineStr">
        <is>
          <t>PR02-UI-04-HAP-001</t>
        </is>
      </c>
      <c r="B37" s="23" t="inlineStr">
        <is>
          <t>PR.02</t>
        </is>
      </c>
      <c r="C37" s="23" t="inlineStr">
        <is>
          <t>UI-FUNC.04 – Tìm kiếm</t>
        </is>
      </c>
      <c r="D37" s="23" t="inlineStr">
        <is>
          <t>Kiểm tra thành công: Luồng Filter tên/mã; Unicode/syntax; clear; pagination</t>
        </is>
      </c>
      <c r="E37" s="23" t="inlineStr">
        <is>
          <t>Happy</t>
        </is>
      </c>
      <c r="F37" s="23" t="inlineStr">
        <is>
          <t>Regression</t>
        </is>
      </c>
      <c r="G37" s="23" t="inlineStr">
        <is>
          <t>P2</t>
        </is>
      </c>
      <c r="H37" s="23" t="inlineStr">
        <is>
          <t>1. Đăng nhập Maker mở PR có ≥1 công thức đã duyệt để thao tác UI.</t>
        </is>
      </c>
      <c r="I37" s="23" t="inlineStr">
        <is>
          <t>1. Đăng nhập hệ thống với vai trò Maker.
2. Điều hướng đến màn hình 'UI-FUNC.04 – Tìm kiếm'.
3. Thực hiện thao tác cụ thể:
1) Nhập từ khoá Tên/Mã
2) 'Tìm kiếm'
3) 'Xoá bộ lọc'
4. Nhấn nút 'Xác nhận' hoặc 'Hoàn tất' (tùy màn hình).
5. Kiểm tra thông báo hiển thị trên giao diện.
6. Kiểm tra trạng thái bản ghi tại 'Tác vụ chờ duyệt' (nếu là Happy path).</t>
        </is>
      </c>
      <c r="J37" s="23" t="inlineStr">
        <is>
          <t>(i) Nghiệp vụ/Logic: Thông tin được xử lý thành công và lưu trữ toàn vẹn dữ liệu.
(ii) UI: Thông báo 'Thao tác thành công'.
(iii) Trạng thái: 'Chờ duyệt' (Maker tạo mới).</t>
        </is>
      </c>
      <c r="K37" s="23" t="inlineStr">
        <is>
          <t>II.5.1.2</t>
        </is>
      </c>
      <c r="L37" s="23" t="inlineStr">
        <is>
          <t>UI-FUNC.04</t>
        </is>
      </c>
      <c r="M37" s="23" t="inlineStr">
        <is>
          <t>UI-FILTER-BASIC</t>
        </is>
      </c>
      <c r="N37" s="23" t="inlineStr">
        <is>
          <t>Note only: không lặp BR (mandatory/unique/3 cấu phần/audit/visibility).</t>
        </is>
      </c>
      <c r="O37" s="23" t="n"/>
      <c r="P37" s="23" t="n"/>
      <c r="Q37" s="23" t="n"/>
      <c r="R37" s="23" t="n"/>
      <c r="S37" s="23" t="n"/>
      <c r="T37" s="23" t="n"/>
      <c r="U37" s="23">
        <f>IF(R37&lt;&gt;"", R37, O37)</f>
        <v/>
      </c>
    </row>
    <row r="38" ht="15.75" customHeight="1" s="17">
      <c r="A38" s="23" t="inlineStr">
        <is>
          <t>PR02-UI-04-BOU-002</t>
        </is>
      </c>
      <c r="B38" s="23" t="inlineStr">
        <is>
          <t>PR.02</t>
        </is>
      </c>
      <c r="C38" s="23" t="inlineStr">
        <is>
          <t>UI-FUNC.04 – Tìm kiếm</t>
        </is>
      </c>
      <c r="D38" s="23" t="inlineStr">
        <is>
          <t>Kiểm tra biên: Xác minh giới hạn của Filter tên/mã; Unicode/syntax; clear; pagination</t>
        </is>
      </c>
      <c r="E38" s="23" t="inlineStr">
        <is>
          <t>Boundary</t>
        </is>
      </c>
      <c r="F38" s="23" t="inlineStr">
        <is>
          <t>Regression</t>
        </is>
      </c>
      <c r="G38" s="23" t="inlineStr">
        <is>
          <t>P3</t>
        </is>
      </c>
      <c r="H38" s="23" t="inlineStr">
        <is>
          <t>1. Đăng nhập Maker mở PR có ≥1 công thức đã duyệt để thao tác UI.</t>
        </is>
      </c>
      <c r="I38" s="23" t="inlineStr">
        <is>
          <t>1. Đăng nhập hệ thống với vai trò Maker.
2. Điều hướng đến màn hình 'UI-FUNC.04 – Tìm kiếm'.
3. Thực hiện thao tác cụ thể:
1) Nhập từ khoá Unicode/tiếng Việt
2) 'Tìm kiếm'
4. Nhấn nút 'Xác nhận' hoặc 'Hoàn tất' (tùy màn hình).
5. Kiểm tra thông báo hiển thị trên giao diện.
6. Kiểm tra trạng thái bản ghi tại 'Tác vụ chờ duyệt' (nếu là Happy path).</t>
        </is>
      </c>
      <c r="J38" s="23" t="inlineStr">
        <is>
          <t>(i) Nghiệp vụ/Logic: Hệ thống xử lý đúng quy định tại giá trị biên (Min/Max/Limit).
(ii) UI: Hiển thị thông báo hoặc trạng thái tương ứng.
(iii) Trạng thái: Lưu hoặc Chặn tùy quy định.</t>
        </is>
      </c>
      <c r="K38" s="23" t="inlineStr">
        <is>
          <t>II.5.1.2</t>
        </is>
      </c>
      <c r="L38" s="23" t="inlineStr">
        <is>
          <t>UI-FUNC.04</t>
        </is>
      </c>
      <c r="M38" s="23" t="inlineStr">
        <is>
          <t>UI-FILTER-I18N</t>
        </is>
      </c>
      <c r="N38" s="23" t="inlineStr">
        <is>
          <t>Note only: không lặp BR (mandatory/unique/3 cấu phần/audit/visibility).</t>
        </is>
      </c>
      <c r="O38" s="23" t="n"/>
      <c r="P38" s="23" t="n"/>
      <c r="Q38" s="23" t="n"/>
      <c r="R38" s="23" t="n"/>
      <c r="S38" s="23" t="n"/>
      <c r="T38" s="23" t="n"/>
      <c r="U38" s="23">
        <f>IF(R38&lt;&gt;"", R38, O38)</f>
        <v/>
      </c>
    </row>
    <row r="39" ht="15.75" customHeight="1" s="17">
      <c r="A39" s="23" t="inlineStr">
        <is>
          <t>PR02-UI-04-NEG-003</t>
        </is>
      </c>
      <c r="B39" s="23" t="inlineStr">
        <is>
          <t>PR.02</t>
        </is>
      </c>
      <c r="C39" s="23" t="inlineStr">
        <is>
          <t>UI-FUNC.04 – Tìm kiếm</t>
        </is>
      </c>
      <c r="D39" s="23" t="inlineStr">
        <is>
          <t>Kiểm tra lỗi: Chặn và báo lỗi khi Filter tên/mã; Unicode/syntax; clear; pagination</t>
        </is>
      </c>
      <c r="E39" s="23" t="inlineStr">
        <is>
          <t>Negative</t>
        </is>
      </c>
      <c r="F39" s="23" t="inlineStr">
        <is>
          <t>Regression</t>
        </is>
      </c>
      <c r="G39" s="23" t="inlineStr">
        <is>
          <t>P3</t>
        </is>
      </c>
      <c r="H39" s="23" t="inlineStr">
        <is>
          <t>1. Đăng nhập Maker mở PR có ≥1 công thức đã duyệt để thao tác UI.</t>
        </is>
      </c>
      <c r="I39" s="23" t="inlineStr">
        <is>
          <t>1. Đăng nhập hệ thống với vai trò Maker.
2. Điều hướng đến màn hình 'UI-FUNC.04 – Tìm kiếm'.
3. Thực hiện thao tác cụ thể:
1) Nhập chuỗi đặc biệt/syntax
(ví dụ *) 2) 'Tìm kiếm'
4. Nhấn nút 'Xác nhận' hoặc 'Hoàn tất' (tùy màn hình).
5. Kiểm tra thông báo hiển thị trên giao diện.
6. Kiểm tra trạng thái bản ghi tại 'Tác vụ chờ duyệt' (nếu là Happy path).</t>
        </is>
      </c>
      <c r="J39"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9" s="23" t="inlineStr">
        <is>
          <t>II.5.1.2</t>
        </is>
      </c>
      <c r="L39" s="23" t="inlineStr">
        <is>
          <t>UI-FUNC.04</t>
        </is>
      </c>
      <c r="M39" s="23" t="inlineStr">
        <is>
          <t>UI-FILTER-SYNTAX</t>
        </is>
      </c>
      <c r="N39" s="23" t="inlineStr">
        <is>
          <t>Note only: không lặp BR (mandatory/unique/3 cấu phần/audit/visibility).</t>
        </is>
      </c>
      <c r="O39" s="23" t="n"/>
      <c r="P39" s="23" t="n"/>
      <c r="Q39" s="23" t="n"/>
      <c r="R39" s="23" t="n"/>
      <c r="S39" s="23" t="n"/>
      <c r="T39" s="23" t="n"/>
      <c r="U39" s="23">
        <f>IF(R39&lt;&gt;"", R39, O39)</f>
        <v/>
      </c>
    </row>
    <row r="40" ht="15.75" customHeight="1" s="17">
      <c r="A40" s="23" t="inlineStr">
        <is>
          <t>PR02-UI-04-PER-004</t>
        </is>
      </c>
      <c r="B40" s="23" t="inlineStr">
        <is>
          <t>PR.02</t>
        </is>
      </c>
      <c r="C40" s="23" t="inlineStr">
        <is>
          <t>UI-FUNC.04 – Tìm kiếm</t>
        </is>
      </c>
      <c r="D40" s="23" t="inlineStr">
        <is>
          <t>Giao diện: Kiểm tra chức năng Tìm kiếm, hiển thị Unicode và Phân trang danh sách</t>
        </is>
      </c>
      <c r="E40" s="23" t="inlineStr">
        <is>
          <t>Performance</t>
        </is>
      </c>
      <c r="F40" s="23" t="inlineStr">
        <is>
          <t>Regression</t>
        </is>
      </c>
      <c r="G40" s="23" t="inlineStr">
        <is>
          <t>P3</t>
        </is>
      </c>
      <c r="H40" s="23" t="inlineStr">
        <is>
          <t>1. Đăng nhập Maker mở PR có ≥1 công thức đã duyệt để thao tác UI.</t>
        </is>
      </c>
      <c r="I40" s="23" t="inlineStr">
        <is>
          <t>1. Đăng nhập hệ thống với vai trò Maker.
2. Điều hướng đến màn hình 'UI-FUNC.04 – Tìm kiếm'.
3. Thực hiện thao tác cụ thể:
1) Tìm kiếm trả về nhiều bản ghi
(≥10k) 2) Cuộn/paginate
4. Nhấn nút 'Xác nhận' hoặc 'Hoàn tất' (tùy màn hình).
5. Kiểm tra thông báo hiển thị trên giao diện.
6. Kiểm tra trạng thái bản ghi tại 'Tác vụ chờ duyệt' (nếu là Happy path).</t>
        </is>
      </c>
      <c r="J40" s="23" t="inlineStr">
        <is>
          <t>(i) Nghiệp vụ/Logic: Thông tin được hệ thống xử lý đúng quy trình và lưu trữ toàn vẹn dữ liệu.
(ii) UI (Toast/Popup/Grid): Giao diện cập nhật trạng thái phản hồi tương ứng với thao tác của khách hàng.
(iii) Trạng thái/Audit log: Trạng thái bản ghi: 'Chờ duyệt'
(Pending). Hệ thống ghi log hành động: 'Maker tạo mới công thức'.</t>
        </is>
      </c>
      <c r="K40" s="23" t="inlineStr">
        <is>
          <t>II.5.1.2</t>
        </is>
      </c>
      <c r="L40" s="23" t="inlineStr">
        <is>
          <t>UI-FUNC.04</t>
        </is>
      </c>
      <c r="M40" s="23" t="inlineStr">
        <is>
          <t>UI-FILTER-PERF</t>
        </is>
      </c>
      <c r="N40" s="23" t="inlineStr">
        <is>
          <t>Note only: không lặp BR (mandatory/unique/3 cấu phần/audit/visibility).</t>
        </is>
      </c>
      <c r="O40" s="23" t="n"/>
      <c r="P40" s="23" t="n"/>
      <c r="Q40" s="23" t="n"/>
      <c r="R40" s="23" t="n"/>
      <c r="S40" s="23" t="n"/>
      <c r="T40" s="23" t="n"/>
      <c r="U40" s="23">
        <f>IF(R40&lt;&gt;"", R40, O40)</f>
        <v/>
      </c>
    </row>
    <row r="41" ht="15.75" customHeight="1" s="17">
      <c r="A41" s="23" t="inlineStr">
        <is>
          <t>PR02-UI-05-HAP-001</t>
        </is>
      </c>
      <c r="B41" s="23" t="inlineStr">
        <is>
          <t>PR.02</t>
        </is>
      </c>
      <c r="C41" s="23" t="inlineStr">
        <is>
          <t>UI-FUNC.05 – Tải xuống</t>
        </is>
      </c>
      <c r="D41" s="23" t="inlineStr">
        <is>
          <t>Kiểm tra thành công: Luồng Export XLSX theo filter; encoding/cột; dataset lớn</t>
        </is>
      </c>
      <c r="E41" s="23" t="inlineStr">
        <is>
          <t>Happy</t>
        </is>
      </c>
      <c r="F41" s="23" t="inlineStr">
        <is>
          <t>Regression</t>
        </is>
      </c>
      <c r="G41" s="23" t="inlineStr">
        <is>
          <t>P2</t>
        </is>
      </c>
      <c r="H41" s="23" t="inlineStr">
        <is>
          <t>1. Đăng nhập Maker mở PR có ≥1 công thức đã duyệt để thao tác UI.</t>
        </is>
      </c>
      <c r="I41" s="23" t="inlineStr">
        <is>
          <t>1. Đăng nhập hệ thống với vai trò Maker.
2. Điều hướng đến màn hình 'UI-FUNC.05 – Tải xuống'.
3. Thực hiện thao tác cụ thể:
1) Áp filter
2) Nhấn 'Tải xuống'
4. Nhấn nút 'Xác nhận' hoặc 'Hoàn tất' (tùy màn hình).
5. Kiểm tra thông báo hiển thị trên giao diện.
6. Kiểm tra trạng thái bản ghi tại 'Tác vụ chờ duyệt' (nếu là Happy path).</t>
        </is>
      </c>
      <c r="J41" s="23" t="inlineStr">
        <is>
          <t>(i) Nghiệp vụ/Logic: Thông tin được xử lý thành công và lưu trữ toàn vẹn dữ liệu.
(ii) UI: Thông báo 'Thao tác thành công'.
(iii) Trạng thái: 'Chờ duyệt' (Maker tạo mới).</t>
        </is>
      </c>
      <c r="K41" s="23" t="inlineStr">
        <is>
          <t>II.5.1.2</t>
        </is>
      </c>
      <c r="L41" s="23" t="inlineStr">
        <is>
          <t>UI-FUNC.05</t>
        </is>
      </c>
      <c r="M41" s="23" t="inlineStr">
        <is>
          <t>UI-EXPORT-XLSX</t>
        </is>
      </c>
      <c r="N41" s="23" t="inlineStr">
        <is>
          <t>Note only: không lặp BR (mandatory/unique/3 cấu phần/audit/visibility).</t>
        </is>
      </c>
      <c r="O41" s="23" t="n"/>
      <c r="P41" s="23" t="n"/>
      <c r="Q41" s="23" t="n"/>
      <c r="R41" s="23" t="n"/>
      <c r="S41" s="23" t="n"/>
      <c r="T41" s="23" t="n"/>
      <c r="U41" s="23">
        <f>IF(R41&lt;&gt;"", R41, O41)</f>
        <v/>
      </c>
    </row>
    <row r="42" ht="15.75" customHeight="1" s="17">
      <c r="A42" s="23" t="inlineStr">
        <is>
          <t>PR02-UI-05-BOU-002</t>
        </is>
      </c>
      <c r="B42" s="23" t="inlineStr">
        <is>
          <t>PR.02</t>
        </is>
      </c>
      <c r="C42" s="23" t="inlineStr">
        <is>
          <t>UI-FUNC.05 – Tải xuống</t>
        </is>
      </c>
      <c r="D42" s="23" t="inlineStr">
        <is>
          <t>Kiểm tra biên: Xác minh giới hạn của Export XLSX theo filter; encoding/cột; dataset lớn</t>
        </is>
      </c>
      <c r="E42" s="23" t="inlineStr">
        <is>
          <t>Boundary</t>
        </is>
      </c>
      <c r="F42" s="23" t="inlineStr">
        <is>
          <t>Regression</t>
        </is>
      </c>
      <c r="G42" s="23" t="inlineStr">
        <is>
          <t>P3</t>
        </is>
      </c>
      <c r="H42" s="23" t="inlineStr">
        <is>
          <t>1. Đăng nhập Maker mở PR có ≥1 công thức đã duyệt để thao tác UI.</t>
        </is>
      </c>
      <c r="I42" s="23" t="inlineStr">
        <is>
          <t>1. Đăng nhập hệ thống với vai trò Maker.
2. Điều hướng đến màn hình 'UI-FUNC.05 – Tải xuống'.
3. Thực hiện thao tác cụ thể:
1) Áp filter trả về nhiều kết quả
(≥10k) 2) 'Tải xuống'
4. Nhấn nút 'Xác nhận' hoặc 'Hoàn tất' (tùy màn hình).
5. Kiểm tra thông báo hiển thị trên giao diện.
6. Kiểm tra trạng thái bản ghi tại 'Tác vụ chờ duyệt' (nếu là Happy path).</t>
        </is>
      </c>
      <c r="J42" s="23" t="inlineStr">
        <is>
          <t>(i) Nghiệp vụ/Logic: Hệ thống xử lý đúng quy định tại giá trị biên (Min/Max/Limit).
(ii) UI: Hiển thị thông báo hoặc trạng thái tương ứng.
(iii) Trạng thái: Lưu hoặc Chặn tùy quy định.</t>
        </is>
      </c>
      <c r="K42" s="23" t="inlineStr">
        <is>
          <t>II.5.1.2</t>
        </is>
      </c>
      <c r="L42" s="23" t="inlineStr">
        <is>
          <t>UI-FUNC.05</t>
        </is>
      </c>
      <c r="M42" s="23" t="inlineStr">
        <is>
          <t>UI-EXPORT-LARGE</t>
        </is>
      </c>
      <c r="N42" s="23" t="inlineStr">
        <is>
          <t>Note only: không lặp BR (mandatory/unique/3 cấu phần/audit/visibility).</t>
        </is>
      </c>
      <c r="O42" s="23" t="n"/>
      <c r="P42" s="23" t="n"/>
      <c r="Q42" s="23" t="n"/>
      <c r="R42" s="23" t="n"/>
      <c r="S42" s="23" t="n"/>
      <c r="T42" s="23" t="n"/>
      <c r="U42" s="23">
        <f>IF(R42&lt;&gt;"", R42, O42)</f>
        <v/>
      </c>
    </row>
    <row r="43" ht="15.75" customHeight="1" s="17">
      <c r="A43" s="23" t="inlineStr">
        <is>
          <t>PR02-UI-05-SEC-003</t>
        </is>
      </c>
      <c r="B43" s="23" t="inlineStr">
        <is>
          <t>PR.02</t>
        </is>
      </c>
      <c r="C43" s="23" t="inlineStr">
        <is>
          <t>UI-FUNC.05 – Tải xuống</t>
        </is>
      </c>
      <c r="D43" s="23" t="inlineStr">
        <is>
          <t>UI: Export XLSX theo filter; encoding/cột; dataset lớn</t>
        </is>
      </c>
      <c r="E43" s="23" t="inlineStr">
        <is>
          <t>Security</t>
        </is>
      </c>
      <c r="F43" s="23" t="inlineStr">
        <is>
          <t>Regression</t>
        </is>
      </c>
      <c r="G43" s="23" t="inlineStr">
        <is>
          <t>P2</t>
        </is>
      </c>
      <c r="H43" s="23" t="inlineStr">
        <is>
          <t>1. Đăng nhập Maker mở PR có ≥1 công thức đã duyệt để thao tác UI.</t>
        </is>
      </c>
      <c r="I43" s="23" t="inlineStr">
        <is>
          <t>1. Đăng nhập hệ thống với vai trò Maker.
2. Điều hướng đến màn hình 'UI-FUNC.05 – Tải xuống'.
3. Thực hiện thao tác cụ thể:
1) Thử gọi API export trực tiếp không có token
2) Quan sát
4. Nhấn nút 'Xác nhận' hoặc 'Hoàn tất' (tùy màn hình).
5. Kiểm tra thông báo hiển thị trên giao diện.
6. Kiểm tra trạng thái bản ghi tại 'Tác vụ chờ duyệt' (nếu là Happy path).</t>
        </is>
      </c>
      <c r="J43" s="23" t="inlineStr">
        <is>
          <t>(i) Nghiệp vụ/Logic: Thông tin được hệ thống xử lý đúng quy trình và lưu trữ toàn vẹn dữ liệu.
(ii) UI (Toast/Popup/Grid): Giao diện cập nhật trạng thái phản hồi tương ứng với thao tác của khách hàng.
(iii) Trạng thái/Audit log: Trạng thái bản ghi: 'Chờ duyệt'
(Pending). Hệ thống ghi log hành động: 'Maker tạo mới công thức'.</t>
        </is>
      </c>
      <c r="K43" s="23" t="inlineStr">
        <is>
          <t>II.5.1.2</t>
        </is>
      </c>
      <c r="L43" s="23" t="inlineStr">
        <is>
          <t>UI-FUNC.05</t>
        </is>
      </c>
      <c r="M43" s="23" t="inlineStr">
        <is>
          <t>UI-EXPORT-AUTHZ</t>
        </is>
      </c>
      <c r="N43" s="23" t="inlineStr">
        <is>
          <t>Note only: không lặp BR (mandatory/unique/3 cấu phần/audit/visibility).</t>
        </is>
      </c>
      <c r="O43" s="23" t="n"/>
      <c r="P43" s="23" t="n"/>
      <c r="Q43" s="23" t="n"/>
      <c r="R43" s="23" t="n"/>
      <c r="S43" s="23" t="n"/>
      <c r="T43" s="23" t="n"/>
      <c r="U43" s="23">
        <f>IF(R43&lt;&gt;"", R43, O43)</f>
        <v/>
      </c>
    </row>
    <row r="44" ht="15.75" customHeight="1" s="17">
      <c r="A44" s="23" t="inlineStr">
        <is>
          <t>PR02-UI-05-INT-004</t>
        </is>
      </c>
      <c r="B44" s="23" t="inlineStr">
        <is>
          <t>PR.02</t>
        </is>
      </c>
      <c r="C44" s="23" t="inlineStr">
        <is>
          <t>UI-FUNC.05 – Tải xuống</t>
        </is>
      </c>
      <c r="D44" s="23" t="inlineStr">
        <is>
          <t>UI: Export XLSX theo filter; encoding/cột; dataset lớn</t>
        </is>
      </c>
      <c r="E44" s="23" t="inlineStr">
        <is>
          <t>Integrity</t>
        </is>
      </c>
      <c r="F44" s="23" t="inlineStr">
        <is>
          <t>Regression</t>
        </is>
      </c>
      <c r="G44" s="23" t="inlineStr">
        <is>
          <t>P2</t>
        </is>
      </c>
      <c r="H44" s="23" t="inlineStr">
        <is>
          <t>1. Đăng nhập Maker mở PR có ≥1 công thức đã duyệt để thao tác UI.</t>
        </is>
      </c>
      <c r="I44" s="23" t="inlineStr">
        <is>
          <t>1. Đăng nhập hệ thống với vai trò Maker.
2. Điều hướng đến màn hình 'UI-FUNC.05 – Tải xuống'.
3. Thực hiện thao tác cụ thể:
1) Mở file .xlsx tải về
2) Kiểm tra header/cột/encoding/độ sâu dữ liệu
4. Nhấn nút 'Xác nhận' hoặc 'Hoàn tất' (tùy màn hình).
5. Kiểm tra thông báo hiển thị trên giao diện.
6. Kiểm tra trạng thái bản ghi tại 'Tác vụ chờ duyệt' (nếu là Happy path).</t>
        </is>
      </c>
      <c r="J44" s="23" t="inlineStr">
        <is>
          <t>(i) Nghiệp vụ/Logic: Thông tin được hệ thống xử lý đúng quy trình và lưu trữ toàn vẹn dữ liệu.
(ii) UI (Toast/Popup/Grid): Giao diện cập nhật trạng thái phản hồi tương ứng với thao tác của khách hàng.
(iii) Trạng thái/Audit log: Trạng thái bản ghi: 'Chờ duyệt'
(Pending). Hệ thống ghi log hành động: 'Maker tạo mới công thức'.</t>
        </is>
      </c>
      <c r="K44" s="23" t="inlineStr">
        <is>
          <t>II.5.1.2</t>
        </is>
      </c>
      <c r="L44" s="23" t="inlineStr">
        <is>
          <t>UI-FUNC.05</t>
        </is>
      </c>
      <c r="M44" s="23" t="inlineStr">
        <is>
          <t>UI-EXPORT-CHK</t>
        </is>
      </c>
      <c r="N44" s="23" t="inlineStr">
        <is>
          <t>Note only: không lặp BR (mandatory/unique/3 cấu phần/audit/visibility).</t>
        </is>
      </c>
      <c r="O44" s="23" t="n"/>
      <c r="P44" s="23" t="n"/>
      <c r="Q44" s="23" t="n"/>
      <c r="R44" s="23" t="n"/>
      <c r="S44" s="23" t="n"/>
      <c r="T44" s="23" t="n"/>
      <c r="U44" s="23">
        <f>IF(R44&lt;&gt;"", R44, O44)</f>
        <v/>
      </c>
    </row>
    <row r="45" ht="15.75" customHeight="1" s="17">
      <c r="A45" s="23" t="inlineStr">
        <is>
          <t>Bổ sung công thức tính phí</t>
        </is>
      </c>
      <c r="B45" s="23" t="n"/>
      <c r="C45" s="23" t="n"/>
      <c r="D45" s="23" t="n"/>
      <c r="E45" s="23" t="n"/>
      <c r="F45" s="23" t="n"/>
      <c r="G45" s="23" t="n"/>
      <c r="H45" s="23" t="n"/>
      <c r="I45" s="23" t="inlineStr">
        <is>
          <t>1. Đăng nhập hệ thống với vai trò Maker.
2. Điều hướng đến màn hình 'nan'.
3. Thực hiện thao tác cụ thể: nan
4. Nhấn nút 'Xác nhận' hoặc 'Hoàn tất' (tùy màn hình).
5. Kiểm tra thông báo hiển thị trên giao diện.
6. Kiểm tra trạng thái bản ghi tại 'Tác vụ chờ duyệt' (nếu là Happy path).</t>
        </is>
      </c>
      <c r="J45" s="23" t="inlineStr">
        <is>
          <t>(i) Nghiệp vụ/Logic: Thông tin được hệ thống xử lý đúng quy trình và lưu trữ toàn vẹn dữ liệu.
(ii) UI (Toast/Popup/Grid): Giao diện cập nhật trạng thái phản hồi tương ứng với thao tác của khách hàng.
(iii) Trạng thái/Audit log: Trạng thái bản ghi: 'Chờ duyệt'
(Pending). Hệ thống ghi log hành động: 'Maker tạo mới công thức'.</t>
        </is>
      </c>
      <c r="K45" s="23" t="n"/>
      <c r="L45" s="23" t="n"/>
      <c r="M45" s="23" t="n"/>
      <c r="N45" s="23" t="n"/>
      <c r="O45" s="23" t="n"/>
      <c r="P45" s="23" t="n"/>
      <c r="Q45" s="23" t="n"/>
      <c r="R45" s="23" t="n"/>
      <c r="S45" s="23" t="n"/>
      <c r="T45" s="23" t="n"/>
      <c r="U45" s="23">
        <f>IF(R45&lt;&gt;"", R45, O45)</f>
        <v/>
      </c>
    </row>
    <row r="46" ht="15.75" customHeight="1" s="17">
      <c r="A46" s="23" t="inlineStr">
        <is>
          <t>FEE-CAL-FIX-HAPPY-001</t>
        </is>
      </c>
      <c r="B46" s="23" t="inlineStr">
        <is>
          <t>FEE-CODE</t>
        </is>
      </c>
      <c r="C46" s="23" t="inlineStr">
        <is>
          <t>Công thức: Số cố định (Theo giao dịch)</t>
        </is>
      </c>
      <c r="D46" s="23" t="inlineStr">
        <is>
          <t>Tính phí cố định: Kiểm tra kết quả tính phí theo phân khúc khách hàng</t>
        </is>
      </c>
      <c r="E46" s="23" t="inlineStr">
        <is>
          <t>Calculation</t>
        </is>
      </c>
      <c r="F46" s="23" t="inlineStr">
        <is>
          <t>Smoke</t>
        </is>
      </c>
      <c r="G46" s="23" t="inlineStr">
        <is>
          <t>P1</t>
        </is>
      </c>
      <c r="H46" s="23" t="inlineStr">
        <is>
          <t>1. Code phí loại KHCN (có segment theo BR_06) Công thức 'Số cố định' đã được phê duyệt Mức phí: KH thường=10000, PVIP=5000, PV1=8000.</t>
        </is>
      </c>
      <c r="I46" s="23" t="inlineStr">
        <is>
          <t>1. Đăng nhập hệ thống với vai trò Maker.
2. Điều hướng đến màn hình 'Công thức: Số cố định (Theo giao dịch)'.
3. Thực hiện thao tác cụ thể: Khởi tạo 3 giao dịch với KH thuộc các segment: KH thường, PVIP, PV
Hệ thống lấy mức A theo segment.
3. Ghi nhận kết quả tính phí.
4. Nhấn nút 'Xác nhận' hoặc 'Hoàn tất' (tùy màn hình).
5. Kiểm tra thông báo hiển thị trên giao diện.
6. Kiểm tra trạng thái bản ghi tại 'Tác vụ chờ duyệt' (nếu là Happy path).</t>
        </is>
      </c>
      <c r="J46" s="23" t="inlineStr">
        <is>
          <t>(i) Nghiệp vụ/Logic: Hệ thống thực hiện phép tính cộng dồn các cấu phần theo đúng công thức đã cấu hình.
(ii) UI (Toast/Popup/Grid): Giá trị phí tính toán được hiển thị rõ ràng trên màn hình giao dịch cho Maker kiểm tra.
(iii) Trạng thái/Audit log: Trạng thái bản ghi: 'Chờ duyệt'
(Pending). Hệ thống ghi log hành động: 'Maker tạo mới công thức'.</t>
        </is>
      </c>
      <c r="K46" s="23" t="inlineStr">
        <is>
          <t>URD.Formulae (Biểu phí &amp; Màn hình khai báo)</t>
        </is>
      </c>
      <c r="L46" s="23" t="inlineStr">
        <is>
          <t>FORMULA_FIX</t>
        </is>
      </c>
      <c r="M46" s="23" t="inlineStr">
        <is>
          <t>CAL-FIX-SEGMENT</t>
        </is>
      </c>
      <c r="N46" s="23" t="inlineStr">
        <is>
          <t>Không kiểm lại BR_06; chỉ dùng segment để chạy công thức</t>
        </is>
      </c>
      <c r="O46" s="23" t="n"/>
      <c r="P46" s="23" t="n"/>
      <c r="Q46" s="23" t="n"/>
      <c r="R46" s="23" t="n"/>
      <c r="S46" s="23" t="n"/>
      <c r="T46" s="23" t="n"/>
      <c r="U46" s="23">
        <f>IF(R46&lt;&gt;"", R46, O46)</f>
        <v/>
      </c>
    </row>
    <row r="47" ht="15.75" customHeight="1" s="17">
      <c r="A47" s="23" t="inlineStr">
        <is>
          <t>FEE-CAL-FIX-NEG-002</t>
        </is>
      </c>
      <c r="B47" s="23" t="inlineStr">
        <is>
          <t>FEE-CODE</t>
        </is>
      </c>
      <c r="C47" s="23" t="inlineStr">
        <is>
          <t>Công thức: Số cố định</t>
        </is>
      </c>
      <c r="D47" s="23" t="inlineStr">
        <is>
          <t>Kiểm tra lỗi: Chặn và báo lỗi khi Chặn không cho phép nhập mức phí là số âm</t>
        </is>
      </c>
      <c r="E47" s="23" t="inlineStr">
        <is>
          <t>Negative</t>
        </is>
      </c>
      <c r="F47" s="23" t="inlineStr">
        <is>
          <t>Regression</t>
        </is>
      </c>
      <c r="G47" s="23" t="inlineStr">
        <is>
          <t>P2</t>
        </is>
      </c>
      <c r="H47" s="23" t="inlineStr">
        <is>
          <t>1. Form cấu hình công thức 'Số cố định'.</t>
        </is>
      </c>
      <c r="I47" s="23" t="inlineStr">
        <is>
          <t>1. Đăng nhập hệ thống với vai trò Maker.
2. Điều hướng đến màn hình 'Công thức: Số cố định'.
3. Thực hiện thao tác cụ thể: Nhập A=-
Lưu cấu hình.
4. Nhấn nút 'Xác nhận' hoặc 'Hoàn tất' (tùy màn hình).
5. Kiểm tra thông báo hiển thị trên giao diện.
6. Kiểm tra trạng thái bản ghi tại 'Tác vụ chờ duyệt' (nếu là Happy path).</t>
        </is>
      </c>
      <c r="J47"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47" s="23" t="inlineStr">
        <is>
          <t>URD.Formulae (Biểu phí &amp; Màn hình khai báo)</t>
        </is>
      </c>
      <c r="L47" s="23" t="inlineStr">
        <is>
          <t>FORMULA_FIX</t>
        </is>
      </c>
      <c r="M47" s="23" t="inlineStr">
        <is>
          <t>CAL-FIX-A-NEG</t>
        </is>
      </c>
      <c r="N47" s="23" t="inlineStr">
        <is>
          <t>ĐÃ COVER nguyên tắc &gt;=0 tại BR_17, nhưng TC này kiểm ngay tại cấu hình công thức</t>
        </is>
      </c>
      <c r="O47" s="23" t="n"/>
      <c r="P47" s="23" t="n"/>
      <c r="Q47" s="23" t="n"/>
      <c r="R47" s="23" t="n"/>
      <c r="S47" s="23" t="n"/>
      <c r="T47" s="23" t="n"/>
      <c r="U47" s="23">
        <f>IF(R47&lt;&gt;"", R47, O47)</f>
        <v/>
      </c>
    </row>
    <row r="48" ht="15.75" customHeight="1" s="17">
      <c r="A48" s="23" t="inlineStr">
        <is>
          <t>FEE-CAL-FIX-BOUND-003</t>
        </is>
      </c>
      <c r="B48" s="23" t="inlineStr">
        <is>
          <t>FEE-CODE</t>
        </is>
      </c>
      <c r="C48" s="23" t="inlineStr">
        <is>
          <t>Công thức: Số cố định</t>
        </is>
      </c>
      <c r="D48" s="23" t="inlineStr">
        <is>
          <t>Kiểm tra biên: Xác minh giới hạn của A=0 -&gt; miễn phí</t>
        </is>
      </c>
      <c r="E48" s="23" t="inlineStr">
        <is>
          <t>Boundary</t>
        </is>
      </c>
      <c r="F48" s="23" t="inlineStr">
        <is>
          <t>Regression</t>
        </is>
      </c>
      <c r="G48" s="23" t="inlineStr">
        <is>
          <t>P3</t>
        </is>
      </c>
      <c r="H48" s="23" t="inlineStr">
        <is>
          <t>1. Form cấu hình A=0.</t>
        </is>
      </c>
      <c r="I48" s="23" t="inlineStr">
        <is>
          <t>1. Đăng nhập hệ thống với vai trò Maker.
2. Điều hướng đến màn hình 'Công thức: Số cố định'.
3. Thực hiện thao tác cụ thể: Thực hiện giao dịch bất kỳ.
Quan sát phí tính ra.
4. Nhấn nút 'Xác nhận' hoặc 'Hoàn tất' (tùy màn hình).
5. Kiểm tra thông báo hiển thị trên giao diện.
6. Kiểm tra trạng thái bản ghi tại 'Tác vụ chờ duyệt' (nếu là Happy path).</t>
        </is>
      </c>
      <c r="J48" s="23" t="inlineStr">
        <is>
          <t>(i) Nghiệp vụ/Logic: Hệ thống xử lý đúng quy định tại giá trị biên (Min/Max/Limit).
(ii) UI: Hiển thị thông báo hoặc trạng thái tương ứng.
(iii) Trạng thái: Lưu hoặc Chặn tùy quy định.</t>
        </is>
      </c>
      <c r="K48" s="23" t="inlineStr">
        <is>
          <t>URD.Formulae (Biểu phí &amp; Màn hình khai báo)</t>
        </is>
      </c>
      <c r="L48" s="23" t="inlineStr">
        <is>
          <t>FORMULA_FIX</t>
        </is>
      </c>
      <c r="M48" s="23" t="inlineStr">
        <is>
          <t>CAL-FIX-A-0</t>
        </is>
      </c>
      <c r="N48" s="23" t="n"/>
      <c r="O48" s="23" t="n"/>
      <c r="P48" s="23" t="n"/>
      <c r="Q48" s="23" t="n"/>
      <c r="R48" s="23" t="n"/>
      <c r="S48" s="23" t="n"/>
      <c r="T48" s="23" t="n"/>
      <c r="U48" s="23">
        <f>IF(R48&lt;&gt;"", R48, O48)</f>
        <v/>
      </c>
    </row>
    <row r="49" ht="15.75" customHeight="1" s="17">
      <c r="A49" s="23" t="inlineStr">
        <is>
          <t>FEE-CAL-RATE-HAPPY-004</t>
        </is>
      </c>
      <c r="B49" s="23" t="inlineStr">
        <is>
          <t>FEE-CODE</t>
        </is>
      </c>
      <c r="C49" s="23" t="inlineStr">
        <is>
          <t>Công thức: Tỷ lệ * Giá trị</t>
        </is>
      </c>
      <c r="D49" s="23" t="inlineStr">
        <is>
          <t>Tính phí tỷ lệ: Kiểm tra kết quả tính phí % trên giá trị giao dịch</t>
        </is>
      </c>
      <c r="E49" s="23" t="inlineStr">
        <is>
          <t>Calculation</t>
        </is>
      </c>
      <c r="F49" s="23" t="inlineStr">
        <is>
          <t>Smoke</t>
        </is>
      </c>
      <c r="G49" s="23" t="inlineStr">
        <is>
          <t>P1</t>
        </is>
      </c>
      <c r="H49" s="23" t="inlineStr">
        <is>
          <t>1. Công thức 'Tỷ lệ*Giá trị' đã phê duyệt r=0 V=1,000,000.</t>
        </is>
      </c>
      <c r="I49" s="23" t="inlineStr">
        <is>
          <t>1. Đăng nhập hệ thống với vai trò Maker.
2. Điều hướng đến màn hình 'Công thức: Tỷ lệ * Giá trị'.
3. Thực hiện thao tác cụ thể: Thực hiện giao dịch có V=1,000,
000. Tính phí theo công thức.
4. Nhấn nút 'Xác nhận' hoặc 'Hoàn tất' (tùy màn hình).
5. Kiểm tra thông báo hiển thị trên giao diện.
6. Kiểm tra trạng thái bản ghi tại 'Tác vụ chờ duyệt' (nếu là Happy path).</t>
        </is>
      </c>
      <c r="J49" s="23" t="inlineStr">
        <is>
          <t>(i) Nghiệp vụ/Logic: Hệ thống thực hiện phép tính cộng dồn các cấu phần theo đúng công thức đã cấu hình.
(ii) UI (Toast/Popup/Grid): Giá trị phí tính toán được hiển thị rõ ràng trên màn hình giao dịch cho Maker kiểm tra.
(iii) Trạng thái/Audit log: Trạng thái bản ghi: 'Chờ duyệt'
(Pending). Hệ thống ghi log hành động: 'Maker tạo mới công thức'.</t>
        </is>
      </c>
      <c r="K49" s="23" t="inlineStr">
        <is>
          <t>URD.Formulae (Biểu phí &amp; Màn hình khai báo)</t>
        </is>
      </c>
      <c r="L49" s="23" t="inlineStr">
        <is>
          <t>FORMULA_RATE</t>
        </is>
      </c>
      <c r="M49" s="23" t="inlineStr">
        <is>
          <t>CAL-RATE-BASIC</t>
        </is>
      </c>
      <c r="N49" s="23" t="n"/>
      <c r="O49" s="23" t="n"/>
      <c r="P49" s="23" t="n"/>
      <c r="Q49" s="23" t="n"/>
      <c r="R49" s="23" t="n"/>
      <c r="S49" s="23" t="n"/>
      <c r="T49" s="23" t="n"/>
      <c r="U49" s="23">
        <f>IF(R49&lt;&gt;"", R49, O49)</f>
        <v/>
      </c>
    </row>
    <row r="50" ht="15.75" customHeight="1" s="17">
      <c r="A50" s="23" t="inlineStr">
        <is>
          <t>FEE-CAL-RATE-BOUND-005</t>
        </is>
      </c>
      <c r="B50" s="23" t="inlineStr">
        <is>
          <t>FEE-CODE</t>
        </is>
      </c>
      <c r="C50" s="23" t="inlineStr">
        <is>
          <t>Công thức: Tỷ lệ * Giá trị</t>
        </is>
      </c>
      <c r="D50" s="23" t="inlineStr">
        <is>
          <t>Kiểm tra biên: Xác minh giới hạn của r=0 hoặc V=0</t>
        </is>
      </c>
      <c r="E50" s="23" t="inlineStr">
        <is>
          <t>Boundary</t>
        </is>
      </c>
      <c r="F50" s="23" t="inlineStr">
        <is>
          <t>Regression</t>
        </is>
      </c>
      <c r="G50" s="23" t="inlineStr">
        <is>
          <t>P2</t>
        </is>
      </c>
      <c r="H50" s="23" t="inlineStr">
        <is>
          <t>1. Công thức đã cấu hình.</t>
        </is>
      </c>
      <c r="I50" s="23" t="inlineStr">
        <is>
          <t>1. Đăng nhập hệ thống với vai trò Maker.
2. Điều hướng đến màn hình 'Công thức: Tỷ lệ * Giá trị'.
3. Thực hiện thao tác cụ thể: Case r=0, V&gt;
0. Case V=0, r&gt;
0.
4. Nhấn nút 'Xác nhận' hoặc 'Hoàn tất' (tùy màn hình).
5. Kiểm tra thông báo hiển thị trên giao diện.
6. Kiểm tra trạng thái bản ghi tại 'Tác vụ chờ duyệt' (nếu là Happy path).</t>
        </is>
      </c>
      <c r="J50" s="23" t="inlineStr">
        <is>
          <t>(i) Nghiệp vụ/Logic: Hệ thống xử lý đúng quy định tại giá trị biên (Min/Max/Limit).
(ii) UI: Hiển thị thông báo hoặc trạng thái tương ứng.
(iii) Trạng thái: Lưu hoặc Chặn tùy quy định.</t>
        </is>
      </c>
      <c r="K50" s="23" t="inlineStr">
        <is>
          <t>URD.Formulae (Biểu phí &amp; Màn hình khai báo)</t>
        </is>
      </c>
      <c r="L50" s="23" t="inlineStr">
        <is>
          <t>FORMULA_RATE</t>
        </is>
      </c>
      <c r="M50" s="23" t="inlineStr">
        <is>
          <t>CAL-RATE-ZEROES</t>
        </is>
      </c>
      <c r="N50" s="23" t="n"/>
      <c r="O50" s="23" t="n"/>
      <c r="P50" s="23" t="n"/>
      <c r="Q50" s="23" t="n"/>
      <c r="R50" s="23" t="n"/>
      <c r="S50" s="23" t="n"/>
      <c r="T50" s="23" t="n"/>
      <c r="U50" s="23">
        <f>IF(R50&lt;&gt;"", R50, O50)</f>
        <v/>
      </c>
    </row>
    <row r="51" ht="15.75" customHeight="1" s="17">
      <c r="A51" s="23" t="inlineStr">
        <is>
          <t>FEE-CAL-RATE-NEG-006</t>
        </is>
      </c>
      <c r="B51" s="23" t="inlineStr">
        <is>
          <t>FEE-CODE</t>
        </is>
      </c>
      <c r="C51" s="23" t="inlineStr">
        <is>
          <t>Công thức: Tỷ lệ * Giá trị</t>
        </is>
      </c>
      <c r="D51" s="23" t="inlineStr">
        <is>
          <t>Kiểm tra lỗi: Chặn và báo lỗi khi Chặn nhập r&lt;0 hoặc V&lt;0</t>
        </is>
      </c>
      <c r="E51" s="23" t="inlineStr">
        <is>
          <t>Negative</t>
        </is>
      </c>
      <c r="F51" s="23" t="inlineStr">
        <is>
          <t>Regression</t>
        </is>
      </c>
      <c r="G51" s="23" t="inlineStr">
        <is>
          <t>P2</t>
        </is>
      </c>
      <c r="H51" s="23" t="inlineStr">
        <is>
          <t>1. Form cấu hình công thức.</t>
        </is>
      </c>
      <c r="I51" s="23" t="inlineStr">
        <is>
          <t>1. Đăng nhập hệ thống với vai trò Maker.
2. Điều hướng đến màn hình 'Công thức: Tỷ lệ * Giá trị'.
3. Thực hiện thao tác cụ thể: Nhập r=-
0.001 hoặc V âm.
Lưu.
4. Nhấn nút 'Xác nhận' hoặc 'Hoàn tất' (tùy màn hình).
5. Kiểm tra thông báo hiển thị trên giao diện.
6. Kiểm tra trạng thái bản ghi tại 'Tác vụ chờ duyệt' (nếu là Happy path).</t>
        </is>
      </c>
      <c r="J51"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51" s="23" t="inlineStr">
        <is>
          <t>URD.Formulae (Biểu phí &amp; Màn hình khai báo)</t>
        </is>
      </c>
      <c r="L51" s="23" t="inlineStr">
        <is>
          <t>FORMULA_RATE</t>
        </is>
      </c>
      <c r="M51" s="23" t="inlineStr">
        <is>
          <t>CAL-RATE-NEG</t>
        </is>
      </c>
      <c r="N51" s="23" t="n"/>
      <c r="O51" s="23" t="n"/>
      <c r="P51" s="23" t="n"/>
      <c r="Q51" s="23" t="n"/>
      <c r="R51" s="23" t="n"/>
      <c r="S51" s="23" t="n"/>
      <c r="T51" s="23" t="n"/>
      <c r="U51" s="23">
        <f>IF(R51&lt;&gt;"", R51, O51)</f>
        <v/>
      </c>
    </row>
    <row r="52" ht="15.75" customHeight="1" s="17">
      <c r="A52" s="23" t="inlineStr">
        <is>
          <t>FEE-CAL-UQ-HAPPY-007</t>
        </is>
      </c>
      <c r="B52" s="23" t="inlineStr">
        <is>
          <t>FEE-CODE</t>
        </is>
      </c>
      <c r="C52" s="23" t="inlineStr">
        <is>
          <t>Công thức: Đơn giá * Số lượng</t>
        </is>
      </c>
      <c r="D52" s="23" t="inlineStr">
        <is>
          <t>Tính phí theo đơn vị: Kiểm tra kết quả tính phí theo Đơn giá * Số lượng</t>
        </is>
      </c>
      <c r="E52" s="23" t="inlineStr">
        <is>
          <t>Calculation</t>
        </is>
      </c>
      <c r="F52" s="23" t="inlineStr">
        <is>
          <t>Smoke</t>
        </is>
      </c>
      <c r="G52" s="23" t="inlineStr">
        <is>
          <t>P1</t>
        </is>
      </c>
      <c r="H52" s="23" t="inlineStr">
        <is>
          <t>1. Công thức đã phê duyệt u=2000 Q=15.</t>
        </is>
      </c>
      <c r="I52" s="23" t="inlineStr">
        <is>
          <t>1. Đăng nhập hệ thống với vai trò Maker.
2. Điều hướng đến màn hình 'Công thức: Đơn giá * Số lượng'.
3. Thực hiện thao tác cụ thể: Thực hiện tính phí với Q=
15. Xem kết quả.
4. Nhấn nút 'Xác nhận' hoặc 'Hoàn tất' (tùy màn hình).
5. Kiểm tra thông báo hiển thị trên giao diện.
6. Kiểm tra trạng thái bản ghi tại 'Tác vụ chờ duyệt' (nếu là Happy path).</t>
        </is>
      </c>
      <c r="J52" s="23" t="inlineStr">
        <is>
          <t>(i) Nghiệp vụ/Logic: Hệ thống thực hiện phép tính cộng dồn các cấu phần theo đúng công thức đã cấu hình.
(ii) UI (Toast/Popup/Grid): Giá trị phí tính toán được hiển thị rõ ràng trên màn hình giao dịch cho Maker kiểm tra.
(iii) Trạng thái/Audit log: Trạng thái bản ghi: 'Chờ duyệt'
(Pending). Hệ thống ghi log hành động: 'Maker tạo mới công thức'.</t>
        </is>
      </c>
      <c r="K52" s="23" t="inlineStr">
        <is>
          <t>URD.Formulae (Biểu phí &amp; Màn hình khai báo)</t>
        </is>
      </c>
      <c r="L52" s="23" t="inlineStr">
        <is>
          <t>FORMULA_UQ</t>
        </is>
      </c>
      <c r="M52" s="23" t="inlineStr">
        <is>
          <t>CAL-UQ-BASIC</t>
        </is>
      </c>
      <c r="N52" s="23" t="n"/>
      <c r="O52" s="23" t="n"/>
      <c r="P52" s="23" t="n"/>
      <c r="Q52" s="23" t="n"/>
      <c r="R52" s="23" t="n"/>
      <c r="S52" s="23" t="n"/>
      <c r="T52" s="23" t="n"/>
      <c r="U52" s="23">
        <f>IF(R52&lt;&gt;"", R52, O52)</f>
        <v/>
      </c>
    </row>
    <row r="53" ht="15.75" customHeight="1" s="17">
      <c r="A53" s="23" t="inlineStr">
        <is>
          <t>FEE-CAL-UQ-BOUND-008</t>
        </is>
      </c>
      <c r="B53" s="23" t="inlineStr">
        <is>
          <t>FEE-CODE</t>
        </is>
      </c>
      <c r="C53" s="23" t="inlineStr">
        <is>
          <t>Công thức: Đơn giá * Số lượng</t>
        </is>
      </c>
      <c r="D53" s="23" t="inlineStr">
        <is>
          <t>Kiểm tra biên: Xác minh giới hạn của Q=0</t>
        </is>
      </c>
      <c r="E53" s="23" t="inlineStr">
        <is>
          <t>Boundary</t>
        </is>
      </c>
      <c r="F53" s="23" t="inlineStr">
        <is>
          <t>Regression</t>
        </is>
      </c>
      <c r="G53" s="23" t="inlineStr">
        <is>
          <t>P2</t>
        </is>
      </c>
      <c r="H53" s="23" t="inlineStr">
        <is>
          <t>1. u&gt;0 Q=0.</t>
        </is>
      </c>
      <c r="I53" s="23" t="inlineStr">
        <is>
          <t>1. Đăng nhập hệ thống với vai trò Maker.
2. Điều hướng đến màn hình 'Công thức: Đơn giá * Số lượng'.
3. Thực hiện thao tác cụ thể: Tính phí.
Quan sát.
4. Nhấn nút 'Xác nhận' hoặc 'Hoàn tất' (tùy màn hình).
5. Kiểm tra thông báo hiển thị trên giao diện.
6. Kiểm tra trạng thái bản ghi tại 'Tác vụ chờ duyệt' (nếu là Happy path).</t>
        </is>
      </c>
      <c r="J53" s="23" t="inlineStr">
        <is>
          <t>(i) Nghiệp vụ/Logic: Hệ thống xử lý đúng quy định tại giá trị biên (Min/Max/Limit).
(ii) UI: Hiển thị thông báo hoặc trạng thái tương ứng.
(iii) Trạng thái: Lưu hoặc Chặn tùy quy định.</t>
        </is>
      </c>
      <c r="K53" s="23" t="inlineStr">
        <is>
          <t>URD.Formulae (Biểu phí &amp; Màn hình khai báo)</t>
        </is>
      </c>
      <c r="L53" s="23" t="inlineStr">
        <is>
          <t>FORMULA_UQ</t>
        </is>
      </c>
      <c r="M53" s="23" t="inlineStr">
        <is>
          <t>CAL-UQ-Q0</t>
        </is>
      </c>
      <c r="N53" s="23" t="n"/>
      <c r="O53" s="23" t="n"/>
      <c r="P53" s="23" t="n"/>
      <c r="Q53" s="23" t="n"/>
      <c r="R53" s="23" t="n"/>
      <c r="S53" s="23" t="n"/>
      <c r="T53" s="23" t="n"/>
      <c r="U53" s="23">
        <f>IF(R53&lt;&gt;"", R53, O53)</f>
        <v/>
      </c>
    </row>
    <row r="54" ht="15.75" customHeight="1" s="17">
      <c r="A54" s="23" t="inlineStr">
        <is>
          <t>FEE-CAL-UQ-NEG-009</t>
        </is>
      </c>
      <c r="B54" s="23" t="inlineStr">
        <is>
          <t>FEE-CODE</t>
        </is>
      </c>
      <c r="C54" s="23" t="inlineStr">
        <is>
          <t>Công thức: Đơn giá * Số lượng</t>
        </is>
      </c>
      <c r="D54" s="23" t="inlineStr">
        <is>
          <t>Kiểm tra lỗi: Chặn và báo lỗi khi Chặn u&lt;0 hoặc Q&lt;0</t>
        </is>
      </c>
      <c r="E54" s="23" t="inlineStr">
        <is>
          <t>Negative</t>
        </is>
      </c>
      <c r="F54" s="23" t="inlineStr">
        <is>
          <t>Regression</t>
        </is>
      </c>
      <c r="G54" s="23" t="inlineStr">
        <is>
          <t>P2</t>
        </is>
      </c>
      <c r="H54" s="23" t="inlineStr">
        <is>
          <t>1. Form cấu hình.</t>
        </is>
      </c>
      <c r="I54" s="23" t="inlineStr">
        <is>
          <t>1. Đăng nhập hệ thống với vai trò Maker.
2. Điều hướng đến màn hình 'Công thức: Đơn giá * Số lượng'.
3. Thực hiện thao tác cụ thể: Nhập u âm hoặc Q âm.
Lưu.
4. Nhấn nút 'Xác nhận' hoặc 'Hoàn tất' (tùy màn hình).
5. Kiểm tra thông báo hiển thị trên giao diện.
6. Kiểm tra trạng thái bản ghi tại 'Tác vụ chờ duyệt' (nếu là Happy path).</t>
        </is>
      </c>
      <c r="J54"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54" s="23" t="inlineStr">
        <is>
          <t>URD.Formulae (Biểu phí &amp; Màn hình khai báo)</t>
        </is>
      </c>
      <c r="L54" s="23" t="inlineStr">
        <is>
          <t>FORMULA_UQ</t>
        </is>
      </c>
      <c r="M54" s="23" t="inlineStr">
        <is>
          <t>CAL-UQ-NEG</t>
        </is>
      </c>
      <c r="N54" s="23" t="n"/>
      <c r="O54" s="23" t="n"/>
      <c r="P54" s="23" t="n"/>
      <c r="Q54" s="23" t="n"/>
      <c r="R54" s="23" t="n"/>
      <c r="S54" s="23" t="n"/>
      <c r="T54" s="23" t="n"/>
      <c r="U54" s="23">
        <f>IF(R54&lt;&gt;"", R54, O54)</f>
        <v/>
      </c>
    </row>
    <row r="55" ht="15.75" customHeight="1" s="17">
      <c r="A55" s="23" t="inlineStr">
        <is>
          <t>FEE-CAL-FIXRATE-HAPPY-010</t>
        </is>
      </c>
      <c r="B55" s="23" t="inlineStr">
        <is>
          <t>FEE-CODE</t>
        </is>
      </c>
      <c r="C55" s="23" t="inlineStr">
        <is>
          <t>Công thức: Số cố định + (Tỷ lệ * Giá trị)</t>
        </is>
      </c>
      <c r="D55" s="23" t="inlineStr">
        <is>
          <t>Tính phí A + r*V (A=10,000; r=0.05%; V=2,000,000)</t>
        </is>
      </c>
      <c r="E55" s="23" t="inlineStr">
        <is>
          <t>Calculation</t>
        </is>
      </c>
      <c r="F55" s="23" t="inlineStr">
        <is>
          <t>Smoke</t>
        </is>
      </c>
      <c r="G55" s="23" t="inlineStr">
        <is>
          <t>P1</t>
        </is>
      </c>
      <c r="H55" s="23" t="inlineStr">
        <is>
          <t>1. A=10000 r=0 V=2,000,000.</t>
        </is>
      </c>
      <c r="I55" s="23" t="inlineStr">
        <is>
          <t>1. Đăng nhập hệ thống với vai trò Maker.
2. Điều hướng đến màn hình 'Công thức: Số cố định + (Tỷ lệ * Giá trị)'.
3. Thực hiện thao tác cụ thể: Thực hiện tính phí với tham số trên.
Ghi nhận kết quả.
4. Nhấn nút 'Xác nhận' hoặc 'Hoàn tất' (tùy màn hình).
5. Kiểm tra thông báo hiển thị trên giao diện.
6. Kiểm tra trạng thái bản ghi tại 'Tác vụ chờ duyệt' (nếu là Happy path).</t>
        </is>
      </c>
      <c r="J55" s="23" t="inlineStr">
        <is>
          <t>(i) Nghiệp vụ/Logic: Hệ thống thực hiện phép tính cộng dồn các cấu phần theo đúng công thức đã cấu hình.
(ii) UI (Toast/Popup/Grid): Giá trị phí tính toán được hiển thị rõ ràng trên màn hình giao dịch cho Maker kiểm tra.
(iii) Trạng thái/Audit log: Trạng thái bản ghi: 'Chờ duyệt'
(Pending). Hệ thống ghi log hành động: 'Maker tạo mới công thức'.</t>
        </is>
      </c>
      <c r="K55" s="23" t="inlineStr">
        <is>
          <t>URD.Formulae (Biểu phí &amp; Màn hình khai báo)</t>
        </is>
      </c>
      <c r="L55" s="23" t="inlineStr">
        <is>
          <t>FORMULA_FIX_PLUS_RATE</t>
        </is>
      </c>
      <c r="M55" s="23" t="inlineStr">
        <is>
          <t>CAL-FIXRATE-BASIC</t>
        </is>
      </c>
      <c r="N55" s="23" t="n"/>
      <c r="O55" s="23" t="n"/>
      <c r="P55" s="23" t="n"/>
      <c r="Q55" s="23" t="n"/>
      <c r="R55" s="23" t="n"/>
      <c r="S55" s="23" t="n"/>
      <c r="T55" s="23" t="n"/>
      <c r="U55" s="23">
        <f>IF(R55&lt;&gt;"", R55, O55)</f>
        <v/>
      </c>
    </row>
    <row r="56" ht="15.75" customHeight="1" s="17">
      <c r="A56" s="23" t="inlineStr">
        <is>
          <t>FEE-CAL-FIXRATE-BOUND-011</t>
        </is>
      </c>
      <c r="B56" s="23" t="inlineStr">
        <is>
          <t>FEE-CODE</t>
        </is>
      </c>
      <c r="C56" s="23" t="inlineStr">
        <is>
          <t>Công thức: Số cố định + (Tỷ lệ * Giá trị)</t>
        </is>
      </c>
      <c r="D56" s="23" t="inlineStr">
        <is>
          <t>Kiểm tra biên: Xác minh giới hạn của r=0 -&gt; Phí=A</t>
        </is>
      </c>
      <c r="E56" s="23" t="inlineStr">
        <is>
          <t>Boundary</t>
        </is>
      </c>
      <c r="F56" s="23" t="inlineStr">
        <is>
          <t>Regression</t>
        </is>
      </c>
      <c r="G56" s="23" t="inlineStr">
        <is>
          <t>P2</t>
        </is>
      </c>
      <c r="H56" s="23" t="inlineStr">
        <is>
          <t>1. A&gt;0 r=0 V&gt;0.</t>
        </is>
      </c>
      <c r="I56" s="23" t="inlineStr">
        <is>
          <t>1. Đăng nhập hệ thống với vai trò Maker.
2. Điều hướng đến màn hình 'Công thức: Số cố định + (Tỷ lệ * Giá trị)'.
3. Thực hiện thao tác cụ thể: Tính phí.
Xác minh.
4. Nhấn nút 'Xác nhận' hoặc 'Hoàn tất' (tùy màn hình).
5. Kiểm tra thông báo hiển thị trên giao diện.
6. Kiểm tra trạng thái bản ghi tại 'Tác vụ chờ duyệt' (nếu là Happy path).</t>
        </is>
      </c>
      <c r="J56" s="23" t="inlineStr">
        <is>
          <t>(i) Nghiệp vụ/Logic: Hệ thống xử lý đúng quy định tại giá trị biên (Min/Max/Limit).
(ii) UI: Hiển thị thông báo hoặc trạng thái tương ứng.
(iii) Trạng thái: Lưu hoặc Chặn tùy quy định.</t>
        </is>
      </c>
      <c r="K56" s="23" t="inlineStr">
        <is>
          <t>URD.Formulae (Biểu phí &amp; Màn hình khai báo)</t>
        </is>
      </c>
      <c r="L56" s="23" t="inlineStr">
        <is>
          <t>FORMULA_FIX_PLUS_RATE</t>
        </is>
      </c>
      <c r="M56" s="23" t="inlineStr">
        <is>
          <t>CAL-FIXRATE-R0</t>
        </is>
      </c>
      <c r="N56" s="23" t="n"/>
      <c r="O56" s="23" t="n"/>
      <c r="P56" s="23" t="n"/>
      <c r="Q56" s="23" t="n"/>
      <c r="R56" s="23" t="n"/>
      <c r="S56" s="23" t="n"/>
      <c r="T56" s="23" t="n"/>
      <c r="U56" s="23">
        <f>IF(R56&lt;&gt;"", R56, O56)</f>
        <v/>
      </c>
    </row>
    <row r="57" ht="15.75" customHeight="1" s="17">
      <c r="A57" s="23" t="inlineStr">
        <is>
          <t>FEE-CAL-FIXRATE-NEG-012</t>
        </is>
      </c>
      <c r="B57" s="23" t="inlineStr">
        <is>
          <t>FEE-CODE</t>
        </is>
      </c>
      <c r="C57" s="23" t="inlineStr">
        <is>
          <t>Công thức: Số cố định + (Tỷ lệ * Giá trị)</t>
        </is>
      </c>
      <c r="D57" s="23" t="inlineStr">
        <is>
          <t>Kiểm tra lỗi: Chặn và báo lỗi khi Chặn r&lt;0 hoặc V&lt;0</t>
        </is>
      </c>
      <c r="E57" s="23" t="inlineStr">
        <is>
          <t>Negative</t>
        </is>
      </c>
      <c r="F57" s="23" t="inlineStr">
        <is>
          <t>Regression</t>
        </is>
      </c>
      <c r="G57" s="23" t="inlineStr">
        <is>
          <t>P2</t>
        </is>
      </c>
      <c r="H57" s="23" t="inlineStr">
        <is>
          <t>1. Form cấu hình.</t>
        </is>
      </c>
      <c r="I57" s="23" t="inlineStr">
        <is>
          <t>1. Đăng nhập hệ thống với vai trò Maker.
2. Điều hướng đến màn hình 'Công thức: Số cố định + (Tỷ lệ * Giá trị)'.
3. Thực hiện thao tác cụ thể: Nhập r âm hoặc V âm.
Lưu.
4. Nhấn nút 'Xác nhận' hoặc 'Hoàn tất' (tùy màn hình).
5. Kiểm tra thông báo hiển thị trên giao diện.
6. Kiểm tra trạng thái bản ghi tại 'Tác vụ chờ duyệt' (nếu là Happy path).</t>
        </is>
      </c>
      <c r="J57"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57" s="23" t="inlineStr">
        <is>
          <t>URD.Formulae (Biểu phí &amp; Màn hình khai báo)</t>
        </is>
      </c>
      <c r="L57" s="23" t="inlineStr">
        <is>
          <t>FORMULA_FIX_PLUS_RATE</t>
        </is>
      </c>
      <c r="M57" s="23" t="inlineStr">
        <is>
          <t>CAL-FIXRATE-NEG</t>
        </is>
      </c>
      <c r="N57" s="23" t="n"/>
      <c r="O57" s="23" t="n"/>
      <c r="P57" s="23" t="n"/>
      <c r="Q57" s="23" t="n"/>
      <c r="R57" s="23" t="n"/>
      <c r="S57" s="23" t="n"/>
      <c r="T57" s="23" t="n"/>
      <c r="U57" s="23">
        <f>IF(R57&lt;&gt;"", R57, O57)</f>
        <v/>
      </c>
    </row>
    <row r="58" ht="15.75" customHeight="1" s="17">
      <c r="A58" s="23" t="inlineStr">
        <is>
          <t>FEE-CAL-2RATE-HAPPY-013</t>
        </is>
      </c>
      <c r="B58" s="23" t="inlineStr">
        <is>
          <t>FEE-CODE</t>
        </is>
      </c>
      <c r="C58" s="23" t="inlineStr">
        <is>
          <t>Công thức: r1*V1 + r2*V2</t>
        </is>
      </c>
      <c r="D58" s="23" t="inlineStr">
        <is>
          <t>Tính phí với r1=0.1%, V1=1,000,000; r2=0.2%, V2=500,000</t>
        </is>
      </c>
      <c r="E58" s="23" t="inlineStr">
        <is>
          <t>Calculation</t>
        </is>
      </c>
      <c r="F58" s="23" t="inlineStr">
        <is>
          <t>Smoke</t>
        </is>
      </c>
      <c r="G58" s="23" t="inlineStr">
        <is>
          <t>P1</t>
        </is>
      </c>
      <c r="H58" s="23" t="inlineStr">
        <is>
          <t>1. r1=0 V1=1_000_000 r2=0 V2=500_000.</t>
        </is>
      </c>
      <c r="I58" s="23" t="inlineStr">
        <is>
          <t>1. Đăng nhập hệ thống với vai trò Maker.
2. Điều hướng đến màn hình 'Công thức: r1*V1 + r2*V2'.
3. Thực hiện thao tác cụ thể: Thực hiện tính phí.
Xác minh.
4. Nhấn nút 'Xác nhận' hoặc 'Hoàn tất' (tùy màn hình).
5. Kiểm tra thông báo hiển thị trên giao diện.
6. Kiểm tra trạng thái bản ghi tại 'Tác vụ chờ duyệt' (nếu là Happy path).</t>
        </is>
      </c>
      <c r="J58" s="23" t="inlineStr">
        <is>
          <t>(i) Nghiệp vụ/Logic: Hệ thống tính phí tự động: Phí =
(r1 * V
1) + (r2 * V2). Ví dụ:
(
0.1% * 1,000,
000) +
(
0.2% * 500,
000) = 2,
000.
(ii) UI (Toast/Popup/Grid): Giá trị phí tính toán được hiển thị rõ ràng trên màn hình giao dịch cho Maker kiểm tra.
(iii) Trạng thái/Audit log: Trạng thái bản ghi: 'Chờ duyệt'
(Pending). Hệ thống ghi log hành động: 'Maker tạo mới công thức'.</t>
        </is>
      </c>
      <c r="K58" s="23" t="inlineStr">
        <is>
          <t>URD.Formulae (Biểu phí &amp; Màn hình khai báo)</t>
        </is>
      </c>
      <c r="L58" s="23" t="inlineStr">
        <is>
          <t>FORMULA_2RATE</t>
        </is>
      </c>
      <c r="M58" s="23" t="inlineStr">
        <is>
          <t>CAL-2RATE-BASIC</t>
        </is>
      </c>
      <c r="N58" s="23" t="n"/>
      <c r="O58" s="23" t="n"/>
      <c r="P58" s="23" t="n"/>
      <c r="Q58" s="23" t="n"/>
      <c r="R58" s="23" t="n"/>
      <c r="S58" s="23" t="n"/>
      <c r="T58" s="23" t="n"/>
      <c r="U58" s="23">
        <f>IF(R58&lt;&gt;"", R58, O58)</f>
        <v/>
      </c>
    </row>
    <row r="59" ht="15.75" customHeight="1" s="17">
      <c r="A59" s="23" t="inlineStr">
        <is>
          <t>FEE-CAL-2RATE-BOUND-014</t>
        </is>
      </c>
      <c r="B59" s="23" t="inlineStr">
        <is>
          <t>FEE-CODE</t>
        </is>
      </c>
      <c r="C59" s="23" t="inlineStr">
        <is>
          <t>Công thức: r1*V1 + r2*V2</t>
        </is>
      </c>
      <c r="D59" s="23" t="inlineStr">
        <is>
          <t>Kiểm tra biên: Xác minh giới hạn của V1=0 hoặc V2=0</t>
        </is>
      </c>
      <c r="E59" s="23" t="inlineStr">
        <is>
          <t>Boundary</t>
        </is>
      </c>
      <c r="F59" s="23" t="inlineStr">
        <is>
          <t>Regression</t>
        </is>
      </c>
      <c r="G59" s="23" t="inlineStr">
        <is>
          <t>P2</t>
        </is>
      </c>
      <c r="H59" s="23" t="inlineStr">
        <is>
          <t>1. r1&gt;0 r2&gt;0.</t>
        </is>
      </c>
      <c r="I59" s="23" t="inlineStr">
        <is>
          <t>1. Đăng nhập hệ thống với vai trò Maker.
2. Điều hướng đến màn hình 'Công thức: r1*V1 + r2*V2'.
3. Thực hiện thao tác cụ thể: Case V1=
0. Case V2=
0.
4. Nhấn nút 'Xác nhận' hoặc 'Hoàn tất' (tùy màn hình).
5. Kiểm tra thông báo hiển thị trên giao diện.
6. Kiểm tra trạng thái bản ghi tại 'Tác vụ chờ duyệt' (nếu là Happy path).</t>
        </is>
      </c>
      <c r="J59" s="23" t="inlineStr">
        <is>
          <t>(i) Nghiệp vụ/Logic: Hệ thống xử lý đúng quy định tại giá trị biên (Min/Max/Limit).
(ii) UI: Hiển thị thông báo hoặc trạng thái tương ứng.
(iii) Trạng thái: Lưu hoặc Chặn tùy quy định.</t>
        </is>
      </c>
      <c r="K59" s="23" t="inlineStr">
        <is>
          <t>URD.Formulae (Biểu phí &amp; Màn hình khai báo)</t>
        </is>
      </c>
      <c r="L59" s="23" t="inlineStr">
        <is>
          <t>FORMULA_2RATE</t>
        </is>
      </c>
      <c r="M59" s="23" t="inlineStr">
        <is>
          <t>CAL-2RATE-ZERO</t>
        </is>
      </c>
      <c r="N59" s="23" t="n"/>
      <c r="O59" s="23" t="n"/>
      <c r="P59" s="23" t="n"/>
      <c r="Q59" s="23" t="n"/>
      <c r="R59" s="23" t="n"/>
      <c r="S59" s="23" t="n"/>
      <c r="T59" s="23" t="n"/>
      <c r="U59" s="23">
        <f>IF(R59&lt;&gt;"", R59, O59)</f>
        <v/>
      </c>
    </row>
    <row r="60" ht="15.75" customHeight="1" s="17">
      <c r="A60" s="23" t="inlineStr">
        <is>
          <t>FEE-CAL-2RATE-NEG-015</t>
        </is>
      </c>
      <c r="B60" s="23" t="inlineStr">
        <is>
          <t>FEE-CODE</t>
        </is>
      </c>
      <c r="C60" s="23" t="inlineStr">
        <is>
          <t>Công thức: r1*V1 + r2*V2</t>
        </is>
      </c>
      <c r="D60" s="23" t="inlineStr">
        <is>
          <t>Kiểm tra lỗi: Chặn và báo lỗi khi Chặn r1&lt;0 hoặc r2&lt;0</t>
        </is>
      </c>
      <c r="E60" s="23" t="inlineStr">
        <is>
          <t>Negative</t>
        </is>
      </c>
      <c r="F60" s="23" t="inlineStr">
        <is>
          <t>Regression</t>
        </is>
      </c>
      <c r="G60" s="23" t="inlineStr">
        <is>
          <t>P2</t>
        </is>
      </c>
      <c r="H60" s="23" t="inlineStr">
        <is>
          <t>1. Form cấu hình.</t>
        </is>
      </c>
      <c r="I60" s="23" t="inlineStr">
        <is>
          <t>1. Đăng nhập hệ thống với vai trò Maker.
2. Điều hướng đến màn hình 'Công thức: r1*V1 + r2*V2'.
3. Thực hiện thao tác cụ thể: Nhập r1 âm hoặc r2 âm.
Lưu.
4. Nhấn nút 'Xác nhận' hoặc 'Hoàn tất' (tùy màn hình).
5. Kiểm tra thông báo hiển thị trên giao diện.
6. Kiểm tra trạng thái bản ghi tại 'Tác vụ chờ duyệt' (nếu là Happy path).</t>
        </is>
      </c>
      <c r="J60"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60" s="23" t="inlineStr">
        <is>
          <t>URD.Formulae (Biểu phí &amp; Màn hình khai báo)</t>
        </is>
      </c>
      <c r="L60" s="23" t="inlineStr">
        <is>
          <t>FORMULA_2RATE</t>
        </is>
      </c>
      <c r="M60" s="23" t="inlineStr">
        <is>
          <t>CAL-2RATE-NEG</t>
        </is>
      </c>
      <c r="N60" s="23" t="n"/>
      <c r="O60" s="23" t="n"/>
      <c r="P60" s="23" t="n"/>
      <c r="Q60" s="23" t="n"/>
      <c r="R60" s="23" t="n"/>
      <c r="S60" s="23" t="n"/>
      <c r="T60" s="23" t="n"/>
      <c r="U60" s="23">
        <f>IF(R60&lt;&gt;"", R60, O60)</f>
        <v/>
      </c>
    </row>
    <row r="61" ht="15.75" customHeight="1" s="17">
      <c r="A61" s="23" t="inlineStr">
        <is>
          <t>FEE-CAL-FIXPER-HAPPY-016</t>
        </is>
      </c>
      <c r="B61" s="23" t="inlineStr">
        <is>
          <t>FEE-CODE</t>
        </is>
      </c>
      <c r="C61" s="23" t="inlineStr">
        <is>
          <t>Công thức: Số cố định (Định kỳ)</t>
        </is>
      </c>
      <c r="D61" s="23" t="inlineStr">
        <is>
          <t>Tính phí định kỳ hàng tháng A=30,000, 3 kỳ</t>
        </is>
      </c>
      <c r="E61" s="23" t="inlineStr">
        <is>
          <t>Calculation</t>
        </is>
      </c>
      <c r="F61" s="23" t="inlineStr">
        <is>
          <t>Regression</t>
        </is>
      </c>
      <c r="G61" s="23" t="inlineStr">
        <is>
          <t>P2</t>
        </is>
      </c>
      <c r="H61" s="23" t="inlineStr">
        <is>
          <t>1. Chu kỳ: tháng A=30000 3 kỳ phát sinh.</t>
        </is>
      </c>
      <c r="I61" s="23" t="inlineStr">
        <is>
          <t>1. Đăng nhập hệ thống với vai trò Maker.
2. Điều hướng đến màn hình 'Công thức: Số cố định (Định kỳ)'.
3. Thực hiện thao tác cụ thể: Mô phỏng chạy phí cho 3 kỳ.
Tổng hợp kết quả.
4. Nhấn nút 'Xác nhận' hoặc 'Hoàn tất' (tùy màn hình).
5. Kiểm tra thông báo hiển thị trên giao diện.
6. Kiểm tra trạng thái bản ghi tại 'Tác vụ chờ duyệt' (nếu là Happy path).</t>
        </is>
      </c>
      <c r="J61" s="23" t="inlineStr">
        <is>
          <t>(i) Nghiệp vụ/Logic: Hệ thống thực hiện phép tính cộng dồn các cấu phần theo đúng công thức đã cấu hình.
(ii) UI (Toast/Popup/Grid): Giá trị phí tính toán được hiển thị rõ ràng trên màn hình giao dịch cho Maker kiểm tra.
(iii) Trạng thái/Audit log: Trạng thái bản ghi: 'Chờ duyệt'
(Pending). Hệ thống ghi log hành động: 'Maker tạo mới công thức'.</t>
        </is>
      </c>
      <c r="K61" s="23" t="inlineStr">
        <is>
          <t>URD.Formulae (Biểu phí &amp; Màn hình khai báo)</t>
        </is>
      </c>
      <c r="L61" s="23" t="inlineStr">
        <is>
          <t>FORMULA_FIX_PERIODIC</t>
        </is>
      </c>
      <c r="M61" s="23" t="inlineStr">
        <is>
          <t>CAL-FIXPER-MONTHLY</t>
        </is>
      </c>
      <c r="N61" s="23" t="n"/>
      <c r="O61" s="23" t="n"/>
      <c r="P61" s="23" t="n"/>
      <c r="Q61" s="23" t="n"/>
      <c r="R61" s="23" t="n"/>
      <c r="S61" s="23" t="n"/>
      <c r="T61" s="23" t="n"/>
      <c r="U61" s="23">
        <f>IF(R61&lt;&gt;"", R61, O61)</f>
        <v/>
      </c>
    </row>
    <row r="62" ht="15.75" customHeight="1" s="17">
      <c r="A62" s="23" t="inlineStr">
        <is>
          <t>FEE-CAL-FIXPER-BOUND-017</t>
        </is>
      </c>
      <c r="B62" s="23" t="inlineStr">
        <is>
          <t>FEE-CODE</t>
        </is>
      </c>
      <c r="C62" s="23" t="inlineStr">
        <is>
          <t>Công thức: Số cố định (Định kỳ)</t>
        </is>
      </c>
      <c r="D62" s="23" t="inlineStr">
        <is>
          <t>Kiểm tra biên: Xác minh giới hạn của 0 kỳ phát sinh</t>
        </is>
      </c>
      <c r="E62" s="23" t="inlineStr">
        <is>
          <t>Boundary</t>
        </is>
      </c>
      <c r="F62" s="23" t="inlineStr">
        <is>
          <t>Regression</t>
        </is>
      </c>
      <c r="G62" s="23" t="inlineStr">
        <is>
          <t>P3</t>
        </is>
      </c>
      <c r="H62" s="23" t="inlineStr">
        <is>
          <t>1. A&gt;0 Số kỳ=0.</t>
        </is>
      </c>
      <c r="I62" s="23" t="inlineStr">
        <is>
          <t>1. Đăng nhập hệ thống với vai trò Maker.
2. Điều hướng đến màn hình 'Công thức: Số cố định (Định kỳ)'.
3. Thực hiện thao tác cụ thể: Chạy kỳ.
Quan sát.
4. Nhấn nút 'Xác nhận' hoặc 'Hoàn tất' (tùy màn hình).
5. Kiểm tra thông báo hiển thị trên giao diện.
6. Kiểm tra trạng thái bản ghi tại 'Tác vụ chờ duyệt' (nếu là Happy path).</t>
        </is>
      </c>
      <c r="J62" s="23" t="inlineStr">
        <is>
          <t>(i) Nghiệp vụ/Logic: Hệ thống xử lý đúng quy định tại giá trị biên (Min/Max/Limit).
(ii) UI: Hiển thị thông báo hoặc trạng thái tương ứng.
(iii) Trạng thái: Lưu hoặc Chặn tùy quy định.</t>
        </is>
      </c>
      <c r="K62" s="23" t="inlineStr">
        <is>
          <t>URD.Formulae (Biểu phí &amp; Màn hình khai báo)</t>
        </is>
      </c>
      <c r="L62" s="23" t="inlineStr">
        <is>
          <t>FORMULA_FIX_PERIODIC</t>
        </is>
      </c>
      <c r="M62" s="23" t="inlineStr">
        <is>
          <t>CAL-FIXPER-0CYCLE</t>
        </is>
      </c>
      <c r="N62" s="23" t="n"/>
      <c r="O62" s="23" t="n"/>
      <c r="P62" s="23" t="n"/>
      <c r="Q62" s="23" t="n"/>
      <c r="R62" s="23" t="n"/>
      <c r="S62" s="23" t="n"/>
      <c r="T62" s="23" t="n"/>
      <c r="U62" s="23">
        <f>IF(R62&lt;&gt;"", R62, O62)</f>
        <v/>
      </c>
    </row>
    <row r="63" ht="15.75" customHeight="1" s="17">
      <c r="A63" s="23" t="inlineStr">
        <is>
          <t>FEE-CAL-FIXPER-NEG-018</t>
        </is>
      </c>
      <c r="B63" s="23" t="inlineStr">
        <is>
          <t>FEE-CODE</t>
        </is>
      </c>
      <c r="C63" s="23" t="inlineStr">
        <is>
          <t>Công thức: Số cố định (Định kỳ)</t>
        </is>
      </c>
      <c r="D63" s="23" t="inlineStr">
        <is>
          <t>Kiểm tra lỗi: Chặn và báo lỗi khi Chặn A&lt;0 hoặc số kỳ âm</t>
        </is>
      </c>
      <c r="E63" s="23" t="inlineStr">
        <is>
          <t>Negative</t>
        </is>
      </c>
      <c r="F63" s="23" t="inlineStr">
        <is>
          <t>Regression</t>
        </is>
      </c>
      <c r="G63" s="23" t="inlineStr">
        <is>
          <t>P2</t>
        </is>
      </c>
      <c r="H63" s="23" t="inlineStr">
        <is>
          <t>1. Form cấu hình định kỳ.</t>
        </is>
      </c>
      <c r="I63" s="23" t="inlineStr">
        <is>
          <t>1. Đăng nhập hệ thống với vai trò Maker.
2. Điều hướng đến màn hình 'Công thức: Số cố định (Định kỳ)'.
3. Thực hiện thao tác cụ thể: Nhập A âm hoặc số kỳ âm.
Lưu.
4. Nhấn nút 'Xác nhận' hoặc 'Hoàn tất' (tùy màn hình).
5. Kiểm tra thông báo hiển thị trên giao diện.
6. Kiểm tra trạng thái bản ghi tại 'Tác vụ chờ duyệt' (nếu là Happy path).</t>
        </is>
      </c>
      <c r="J63"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63" s="23" t="inlineStr">
        <is>
          <t>URD.Formulae (Biểu phí &amp; Màn hình khai báo)</t>
        </is>
      </c>
      <c r="L63" s="23" t="inlineStr">
        <is>
          <t>FORMULA_FIX_PERIODIC</t>
        </is>
      </c>
      <c r="M63" s="23" t="inlineStr">
        <is>
          <t>CAL-FIXPER-NEG</t>
        </is>
      </c>
      <c r="N63" s="23" t="n"/>
      <c r="O63" s="23" t="n"/>
      <c r="P63" s="23" t="n"/>
      <c r="Q63" s="23" t="n"/>
      <c r="R63" s="23" t="n"/>
      <c r="S63" s="23" t="n"/>
      <c r="T63" s="23" t="n"/>
      <c r="U63" s="23">
        <f>IF(R63&lt;&gt;"", R63, O63)</f>
        <v/>
      </c>
    </row>
    <row r="64" ht="15.75" customHeight="1" s="17">
      <c r="A64" s="23" t="inlineStr">
        <is>
          <t>PR02-BR_03-NEG-019</t>
        </is>
      </c>
      <c r="B64" s="23" t="inlineStr">
        <is>
          <t>PR.02</t>
        </is>
      </c>
      <c r="C64" s="23" t="inlineStr">
        <is>
          <t>Công thức tính phí</t>
        </is>
      </c>
      <c r="D64" s="23" t="inlineStr">
        <is>
          <t>Kiểm tra lỗi: Chặn và báo lỗi khi Hệ thống báo lỗi khi nhập trùng Tên hoặc Mã công thức</t>
        </is>
      </c>
      <c r="E64" s="23" t="inlineStr">
        <is>
          <t>Negative</t>
        </is>
      </c>
      <c r="F64" s="23" t="inlineStr">
        <is>
          <t>Regression</t>
        </is>
      </c>
      <c r="G64" s="23" t="inlineStr">
        <is>
          <t>P1</t>
        </is>
      </c>
      <c r="H64" s="23" t="inlineStr">
        <is>
          <t>1. Tên/Mã 'Formula_X' đã tồn tại trên hệ thống.</t>
        </is>
      </c>
      <c r="I64" s="23" t="inlineStr">
        <is>
          <t>1. Đăng nhập hệ thống với vai trò Maker.
2. Điều hướng đến màn hình 'Công thức tính phí'.
3. Thực hiện thao tác cụ thể: Thực hiện thêm mới Công thức.
Nhập Tên/Mã trùng.
3. Nhấn Xác nhận.
4. Nhấn nút 'Xác nhận' hoặc 'Hoàn tất' (tùy màn hình).
5. Kiểm tra thông báo hiển thị trên giao diện.
6. Kiểm tra trạng thái bản ghi tại 'Tác vụ chờ duyệt' (nếu là Happy path).</t>
        </is>
      </c>
      <c r="J64"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64" s="23" t="inlineStr">
        <is>
          <t>BR Code: BR_03</t>
        </is>
      </c>
      <c r="L64" s="23" t="inlineStr">
        <is>
          <t>BR_03</t>
        </is>
      </c>
      <c r="M64" s="23" t="inlineStr">
        <is>
          <t>BR_03-TC</t>
        </is>
      </c>
      <c r="N64" s="23" t="inlineStr">
        <is>
          <t>Bổ sung theo review.</t>
        </is>
      </c>
      <c r="O64" s="23" t="n"/>
      <c r="P64" s="23" t="n"/>
      <c r="Q64" s="23" t="n"/>
      <c r="R64" s="23" t="n"/>
      <c r="S64" s="23" t="n"/>
      <c r="T64" s="23" t="n"/>
      <c r="U64" s="23">
        <f>IF(R64&lt;&gt;"", R64, O64)</f>
        <v/>
      </c>
    </row>
    <row r="65" ht="15.75" customHeight="1" s="17">
      <c r="A65" s="23" t="inlineStr">
        <is>
          <t>PR02-BR_05-HAP-020</t>
        </is>
      </c>
      <c r="B65" s="23" t="inlineStr">
        <is>
          <t>PR.02</t>
        </is>
      </c>
      <c r="C65" s="23" t="inlineStr">
        <is>
          <t>Công thức tính phí</t>
        </is>
      </c>
      <c r="D65" s="23" t="inlineStr">
        <is>
          <t>Kiểm tra thành công: Luồng Kiểm tra tính năng lưu phương pháp Đơn giá * Số lượng</t>
        </is>
      </c>
      <c r="E65" s="23" t="inlineStr">
        <is>
          <t>HappyPath</t>
        </is>
      </c>
      <c r="F65" s="23" t="inlineStr">
        <is>
          <t>Smoke</t>
        </is>
      </c>
      <c r="G65" s="23" t="inlineStr">
        <is>
          <t>P1</t>
        </is>
      </c>
      <c r="H65" s="23" t="inlineStr">
        <is>
          <t>1. Công thức: Đơn giá * Số lượng.</t>
        </is>
      </c>
      <c r="I65" s="23" t="inlineStr">
        <is>
          <t>1. Đăng nhập hệ thống với vai trò Maker.
2. Điều hướng đến màn hình 'Công thức tính phí'.
3. Thực hiện thao tác cụ thể: Nhập Đơn giá = 1000, Số lượng =
5.
4. Nhấn nút 'Xác nhận' hoặc 'Hoàn tất' (tùy màn hình).
5. Kiểm tra thông báo hiển thị trên giao diện.
6. Kiểm tra trạng thái bản ghi tại 'Tác vụ chờ duyệt' (nếu là Happy path).</t>
        </is>
      </c>
      <c r="J65" s="23" t="inlineStr">
        <is>
          <t>(i) Nghiệp vụ/Logic: Thông tin được xử lý thành công và lưu trữ toàn vẹn dữ liệu.
(ii) UI: Thông báo 'Thao tác thành công'.
(iii) Trạng thái: 'Chờ duyệt' (Maker tạo mới).</t>
        </is>
      </c>
      <c r="K65" s="23" t="inlineStr">
        <is>
          <t>BR Code: BR_05</t>
        </is>
      </c>
      <c r="L65" s="23" t="inlineStr">
        <is>
          <t>BR_05</t>
        </is>
      </c>
      <c r="M65" s="23" t="inlineStr">
        <is>
          <t>BR_05-TC</t>
        </is>
      </c>
      <c r="N65" s="23" t="inlineStr">
        <is>
          <t>Fixed: Title-Expected mismatch (Review Antigravity)</t>
        </is>
      </c>
      <c r="O65" s="23" t="n"/>
      <c r="P65" s="23" t="n"/>
      <c r="Q65" s="23" t="n"/>
      <c r="R65" s="23" t="n"/>
      <c r="S65" s="23" t="n"/>
      <c r="T65" s="23" t="n"/>
      <c r="U65" s="23">
        <f>IF(R65&lt;&gt;"", R65, O65)</f>
        <v/>
      </c>
    </row>
    <row r="66" ht="15.75" customHeight="1" s="17">
      <c r="A66" s="23" t="inlineStr">
        <is>
          <t>PR02-BR_04-BOU-021</t>
        </is>
      </c>
      <c r="B66" s="23" t="inlineStr">
        <is>
          <t>PR.02</t>
        </is>
      </c>
      <c r="C66" s="23" t="inlineStr">
        <is>
          <t>Công thức tính phí</t>
        </is>
      </c>
      <c r="D66" s="23" t="inlineStr">
        <is>
          <t>Kiểm tra biên: Xác minh giới hạn của Chặn không cho phép cấu hình vượt quá 03 cấu phần phí</t>
        </is>
      </c>
      <c r="E66" s="23" t="inlineStr">
        <is>
          <t>Boundary</t>
        </is>
      </c>
      <c r="F66" s="23" t="inlineStr">
        <is>
          <t>Regression</t>
        </is>
      </c>
      <c r="G66" s="23" t="inlineStr">
        <is>
          <t>P2</t>
        </is>
      </c>
      <c r="H66" s="23" t="inlineStr">
        <is>
          <t>1. Màn hình thêm mới.</t>
        </is>
      </c>
      <c r="I66" s="23" t="inlineStr">
        <is>
          <t>1. Tại màn hình Thêm mới, thực hiện chọn liên tiếp đủ 03 cấu phần.
2. Kiểm tra trạng thái của nút 'Thêm' hoặc chức năng thêm cấu phần.
3. Nhấn Xác nhận.</t>
        </is>
      </c>
      <c r="J66" s="23" t="inlineStr">
        <is>
          <t>(i) Nghiệp vụ/Logic: Hệ thống xử lý đúng quy định tại giá trị biên (Min/Max/Limit).
(ii) UI: Hiển thị thông báo hoặc trạng thái tương ứng.
(iii) Trạng thái: Lưu hoặc Chặn tùy quy định.</t>
        </is>
      </c>
      <c r="K66" s="23" t="inlineStr">
        <is>
          <t>BR Code: BR_04</t>
        </is>
      </c>
      <c r="L66" s="23" t="inlineStr">
        <is>
          <t>BR_04</t>
        </is>
      </c>
      <c r="M66" s="23" t="inlineStr">
        <is>
          <t>BR_04-TC</t>
        </is>
      </c>
      <c r="N66" s="23" t="inlineStr">
        <is>
          <t>Updated Boundary steps (Review Antigravity)</t>
        </is>
      </c>
      <c r="O66" s="23" t="n"/>
      <c r="P66" s="23" t="n"/>
      <c r="Q66" s="23" t="n"/>
      <c r="R66" s="23" t="n"/>
      <c r="S66" s="23" t="n"/>
      <c r="T66" s="23" t="n"/>
      <c r="U66" s="23">
        <f>IF(R66&lt;&gt;"", R66, O66)</f>
        <v/>
      </c>
    </row>
    <row r="67" ht="15.75" customHeight="1" s="17">
      <c r="A67" s="23" t="inlineStr">
        <is>
          <t>PR02-BR_02-UI-022</t>
        </is>
      </c>
      <c r="B67" s="23" t="inlineStr">
        <is>
          <t>PR.02</t>
        </is>
      </c>
      <c r="C67" s="23" t="inlineStr">
        <is>
          <t>Màn hình quản lý</t>
        </is>
      </c>
      <c r="D67" s="23" t="inlineStr">
        <is>
          <t>Kiểm tra nút Đóng: Đảm bảo không lưu dữ liệu và thoát form</t>
        </is>
      </c>
      <c r="E67" s="23" t="inlineStr">
        <is>
          <t>UI</t>
        </is>
      </c>
      <c r="F67" s="23" t="inlineStr">
        <is>
          <t>Regression</t>
        </is>
      </c>
      <c r="G67" s="23" t="inlineStr">
        <is>
          <t>P3</t>
        </is>
      </c>
      <c r="H67" s="23" t="inlineStr">
        <is>
          <t>1. Form đang nhập.</t>
        </is>
      </c>
      <c r="I67" s="23" t="inlineStr">
        <is>
          <t>1. Đăng nhập hệ thống với vai trò Maker.
2. Điều hướng đến màn hình 'Màn hình quản lý'.
3. Thực hiện thao tác cụ thể: Nhấn nút Đóng.
4. Nhấn nút 'Xác nhận' hoặc 'Hoàn tất' (tùy màn hình).
5. Kiểm tra thông báo hiển thị trên giao diện.
6. Kiểm tra trạng thái bản ghi tại 'Tác vụ chờ duyệt' (nếu là Happy path).</t>
        </is>
      </c>
      <c r="J67" s="23" t="inlineStr">
        <is>
          <t>(i) Nghiệp vụ/Logic: Hệ thống không lưu thông tin đã nhập.
(ii) UI: Đóng form quay về màn trước.
(iii) Trạng thái: Không tạo bản ghi chờ duyệt.</t>
        </is>
      </c>
      <c r="K67" s="23" t="inlineStr">
        <is>
          <t>BR Code: BR_02</t>
        </is>
      </c>
      <c r="L67" s="23" t="inlineStr">
        <is>
          <t>BR_02</t>
        </is>
      </c>
      <c r="M67" s="23" t="inlineStr">
        <is>
          <t>BR_02-TC</t>
        </is>
      </c>
      <c r="N67" s="23" t="inlineStr">
        <is>
          <t>Fixed: Status logic mismatch (Review Antigravity)</t>
        </is>
      </c>
      <c r="O67" s="23" t="n"/>
      <c r="P67" s="23" t="n"/>
      <c r="Q67" s="23" t="n"/>
      <c r="R67" s="23" t="n"/>
      <c r="S67" s="23" t="n"/>
      <c r="T67" s="23" t="n"/>
      <c r="U67" s="23">
        <f>IF(R67&lt;&gt;"", R67, O67)</f>
        <v/>
      </c>
    </row>
    <row r="68" ht="15.75" customHeight="1" s="17">
      <c r="A68" s="23" t="inlineStr">
        <is>
          <t>PR02-BR_08-LOG-023</t>
        </is>
      </c>
      <c r="B68" s="23" t="inlineStr">
        <is>
          <t>PR.02</t>
        </is>
      </c>
      <c r="C68" s="23" t="inlineStr">
        <is>
          <t>Audit</t>
        </is>
      </c>
      <c r="D68" s="23" t="inlineStr">
        <is>
          <t>Kiểm tra Audit Log: Hệ thống tự động sinh đúng Ngày tạo và Người tạo bản ghi</t>
        </is>
      </c>
      <c r="E68" s="23" t="inlineStr">
        <is>
          <t>Logic</t>
        </is>
      </c>
      <c r="F68" s="23" t="inlineStr">
        <is>
          <t>Smoke</t>
        </is>
      </c>
      <c r="G68" s="23" t="inlineStr">
        <is>
          <t>P1</t>
        </is>
      </c>
      <c r="H68" s="23" t="inlineStr">
        <is>
          <t>1. Maker vừa lưu bản ghi.</t>
        </is>
      </c>
      <c r="I68" s="23" t="inlineStr">
        <is>
          <t>1. Đăng nhập hệ thống với vai trò Maker.
2. Điều hướng đến màn hình 'Audit'.
3. Thực hiện thao tác cụ thể: Kiểm tra chi tiết bản ghi tại 'Tác vụ chờ duyệt'.
4. Nhấn nút 'Xác nhận' hoặc 'Hoàn tất' (tùy màn hình).
5. Kiểm tra thông báo hiển thị trên giao diện.
6. Kiểm tra trạng thái bản ghi tại 'Tác vụ chờ duyệt' (nếu là Happy path).</t>
        </is>
      </c>
      <c r="J68" s="23" t="inlineStr">
        <is>
          <t>(i) Nghiệp vụ/Logic: Hệ thống tự động ghi nhận thời gian thực hiện thao tác (YYYY-MM-DD HH:MM:SS).
(ii) UI (Toast/Popup/Grid): Thông tin 'Ngày tạo' hiển thị chính xác thời gian Maker nhấn nút 'Xác nhận'.
(iii) Trạng thái/Audit log: Trạng thái bản ghi: 'Chờ duyệt'
(Pending). Hệ thống ghi log hành động: 'Maker tạo mới công thức'.</t>
        </is>
      </c>
      <c r="K68" s="23" t="inlineStr">
        <is>
          <t>BR Code: BR_08, BR_09</t>
        </is>
      </c>
      <c r="L68" s="23" t="inlineStr">
        <is>
          <t>BR_08, BR_09</t>
        </is>
      </c>
      <c r="M68" s="23" t="inlineStr">
        <is>
          <t>LOG-TC</t>
        </is>
      </c>
      <c r="N68" s="23" t="inlineStr">
        <is>
          <t>Bổ sung theo review.</t>
        </is>
      </c>
      <c r="O68" s="23" t="n"/>
      <c r="P68" s="23" t="n"/>
      <c r="Q68" s="23" t="n"/>
      <c r="R68" s="23" t="n"/>
      <c r="S68" s="23" t="n"/>
      <c r="T68" s="23" t="n"/>
      <c r="U68" s="23">
        <f>IF(R68&lt;&gt;"", R68, O68)</f>
        <v/>
      </c>
    </row>
    <row r="69" ht="15.75" customHeight="1" s="17">
      <c r="A69" s="23" t="inlineStr">
        <is>
          <t>PR02-CAL-HAP-001</t>
        </is>
      </c>
      <c r="B69" s="23" t="inlineStr">
        <is>
          <t>PR.02</t>
        </is>
      </c>
      <c r="C69" s="23" t="inlineStr">
        <is>
          <t>Công thức tính phí</t>
        </is>
      </c>
      <c r="D69" s="23" t="inlineStr">
        <is>
          <t>Tính toán Case 1: Kiểm tra lưu đúng cấu hình Phí cố định cho giao dịch ngay (11k)</t>
        </is>
      </c>
      <c r="E69" s="23" t="inlineStr">
        <is>
          <t>Calculation</t>
        </is>
      </c>
      <c r="F69" s="23" t="inlineStr">
        <is>
          <t>Smoke</t>
        </is>
      </c>
      <c r="G69" s="23" t="inlineStr">
        <is>
          <t>P1</t>
        </is>
      </c>
      <c r="H69" s="23" t="inlineStr">
        <is>
          <t>Form cấu hình.</t>
        </is>
      </c>
      <c r="I69" s="23" t="inlineStr">
        <is>
          <t>1. Nhập Fee = 11,000.
2. Chọn Phí ngay.
3. Xác nhận.</t>
        </is>
      </c>
      <c r="J69" s="23" t="inlineStr">
        <is>
          <t>(i) Hệ thống lưu phí cố định 11k.
(ii) Trạng thái: Chờ duyệt.</t>
        </is>
      </c>
      <c r="K69" s="23" t="inlineStr">
        <is>
          <t>URD.II.6.3.1</t>
        </is>
      </c>
      <c r="L69" s="23" t="inlineStr">
        <is>
          <t>FORMULA_FIX</t>
        </is>
      </c>
      <c r="M69" s="23" t="inlineStr">
        <is>
          <t>CAL-01</t>
        </is>
      </c>
      <c r="N69" s="23" t="inlineStr">
        <is>
          <t>Added by Antigravity Tool</t>
        </is>
      </c>
      <c r="O69" s="23" t="n"/>
      <c r="P69" s="23" t="n"/>
      <c r="Q69" s="23" t="n"/>
      <c r="R69" s="23" t="n"/>
      <c r="S69" s="23" t="n"/>
      <c r="T69" s="23" t="n"/>
      <c r="U69" s="23" t="n"/>
    </row>
    <row r="70" ht="15.75" customHeight="1" s="17">
      <c r="A70" s="23" t="inlineStr">
        <is>
          <t>PR02-CAL-HAP-002</t>
        </is>
      </c>
      <c r="B70" s="23" t="inlineStr">
        <is>
          <t>PR.02</t>
        </is>
      </c>
      <c r="C70" s="23" t="inlineStr">
        <is>
          <t>Công thức tính phí</t>
        </is>
      </c>
      <c r="D70" s="23" t="inlineStr">
        <is>
          <t>Tính toán Case 2: Kiểm tra lưu đúng cấu hình Phí cố định cho thu phí định kỳ (55k)</t>
        </is>
      </c>
      <c r="E70" s="23" t="inlineStr">
        <is>
          <t>Calculation</t>
        </is>
      </c>
      <c r="F70" s="23" t="inlineStr">
        <is>
          <t>Smoke</t>
        </is>
      </c>
      <c r="G70" s="23" t="inlineStr">
        <is>
          <t>P1</t>
        </is>
      </c>
      <c r="H70" s="23" t="inlineStr">
        <is>
          <t>Form cấu hình định kỳ.</t>
        </is>
      </c>
      <c r="I70" s="23" t="inlineStr">
        <is>
          <t>1. Nhập Fee = 55,000.
2. Chọn Phí định kỳ.
3. Xác nhận.</t>
        </is>
      </c>
      <c r="J70" s="23" t="inlineStr">
        <is>
          <t>(i) Hệ thống lưu phí định kỳ 55k.
(ii) Trạng thái: Chờ duyệt.</t>
        </is>
      </c>
      <c r="K70" s="23" t="inlineStr">
        <is>
          <t>URD.II.6.3.2</t>
        </is>
      </c>
      <c r="L70" s="23" t="inlineStr">
        <is>
          <t>FORMULA_FIX_PERIODIC</t>
        </is>
      </c>
      <c r="M70" s="23" t="inlineStr">
        <is>
          <t>CAL-02</t>
        </is>
      </c>
      <c r="N70" s="23" t="inlineStr">
        <is>
          <t>Added by Antigravity Tool</t>
        </is>
      </c>
      <c r="O70" s="23" t="n"/>
      <c r="P70" s="23" t="n"/>
      <c r="Q70" s="23" t="n"/>
      <c r="R70" s="23" t="n"/>
      <c r="S70" s="23" t="n"/>
      <c r="T70" s="23" t="n"/>
      <c r="U70" s="23" t="n"/>
    </row>
    <row r="71" ht="15.75" customHeight="1" s="17">
      <c r="A71" s="23" t="inlineStr">
        <is>
          <t>PR02-CAL-HAP-003</t>
        </is>
      </c>
      <c r="B71" s="23" t="inlineStr">
        <is>
          <t>PR.02</t>
        </is>
      </c>
      <c r="C71" s="23" t="inlineStr">
        <is>
          <t>Công thức tính phí</t>
        </is>
      </c>
      <c r="D71" s="23" t="inlineStr">
        <is>
          <t>Tính toán Case 3: Kiểm tra lưu đúng cấu hình Tỷ lệ % kèm theo ngưỡng Min/Max phí</t>
        </is>
      </c>
      <c r="E71" s="23" t="inlineStr">
        <is>
          <t>Calculation</t>
        </is>
      </c>
      <c r="F71" s="23" t="inlineStr">
        <is>
          <t>Regression</t>
        </is>
      </c>
      <c r="G71" s="23" t="inlineStr">
        <is>
          <t>P1</t>
        </is>
      </c>
      <c r="H71" s="23" t="inlineStr">
        <is>
          <t>Form cấu hình.</t>
        </is>
      </c>
      <c r="I71" s="23" t="inlineStr">
        <is>
          <t>1. Nhập Tỷ lệ = 0.05%.
2. Nhập Min = 20k, Max = 500k.
3. Xác nhận.</t>
        </is>
      </c>
      <c r="J71" s="23" t="inlineStr">
        <is>
          <t>(i) Hệ thống lưu đúng tỷ lệ và ngưỡng Min/Max.
(ii) Trạng thái: Chờ duyệt.</t>
        </is>
      </c>
      <c r="K71" s="23" t="inlineStr">
        <is>
          <t>URD.II.6.3.3</t>
        </is>
      </c>
      <c r="L71" s="23" t="inlineStr">
        <is>
          <t>FORMULA_RATE_MINMAX</t>
        </is>
      </c>
      <c r="M71" s="23" t="inlineStr">
        <is>
          <t>CAL-03</t>
        </is>
      </c>
      <c r="N71" s="23" t="inlineStr">
        <is>
          <t>Added by Antigravity Tool</t>
        </is>
      </c>
      <c r="O71" s="23" t="n"/>
      <c r="P71" s="23" t="n"/>
      <c r="Q71" s="23" t="n"/>
      <c r="R71" s="23" t="n"/>
      <c r="S71" s="23" t="n"/>
      <c r="T71" s="23" t="n"/>
      <c r="U71" s="23" t="n"/>
    </row>
    <row r="72" ht="15.75" customHeight="1" s="17">
      <c r="A72" s="23" t="inlineStr">
        <is>
          <t>PR02-CAL-HAP-004</t>
        </is>
      </c>
      <c r="B72" s="23" t="inlineStr">
        <is>
          <t>PR.02</t>
        </is>
      </c>
      <c r="C72" s="23" t="inlineStr">
        <is>
          <t>Công thức tính phí</t>
        </is>
      </c>
      <c r="D72" s="23" t="inlineStr">
        <is>
          <t>Tính toán Case 4: Kiểm tra lưu đúng cấu hình tính phí theo Đơn giá * Số lượng</t>
        </is>
      </c>
      <c r="E72" s="23" t="inlineStr">
        <is>
          <t>Calculation</t>
        </is>
      </c>
      <c r="F72" s="23" t="inlineStr">
        <is>
          <t>Regression</t>
        </is>
      </c>
      <c r="G72" s="23" t="inlineStr">
        <is>
          <t>P1</t>
        </is>
      </c>
      <c r="H72" s="23" t="inlineStr">
        <is>
          <t>Form cấu hình.</t>
        </is>
      </c>
      <c r="I72" s="23" t="inlineStr">
        <is>
          <t>1. Nhập Đơn giá = 20,000.
2. Chọn phương pháp Unit*Qty.
3. Xác nhận.</t>
        </is>
      </c>
      <c r="J72" s="23" t="inlineStr">
        <is>
          <t>(i) Hệ thống lưu đúng đơn giá 20k.
(ii) Trạng thái: Chờ duyệt.</t>
        </is>
      </c>
      <c r="K72" s="23" t="inlineStr">
        <is>
          <t>URD.II.6.3.4</t>
        </is>
      </c>
      <c r="L72" s="23" t="inlineStr">
        <is>
          <t>FORMULA_UNIT_QTY</t>
        </is>
      </c>
      <c r="M72" s="23" t="inlineStr">
        <is>
          <t>CAL-04</t>
        </is>
      </c>
      <c r="N72" s="23" t="inlineStr">
        <is>
          <t>Added by Antigravity Tool</t>
        </is>
      </c>
      <c r="O72" s="23" t="n"/>
      <c r="P72" s="23" t="n"/>
      <c r="Q72" s="23" t="n"/>
      <c r="R72" s="23" t="n"/>
      <c r="S72" s="23" t="n"/>
      <c r="T72" s="23" t="n"/>
      <c r="U72" s="23" t="n"/>
    </row>
    <row r="73" ht="15.75" customHeight="1" s="17">
      <c r="A73" s="23" t="inlineStr">
        <is>
          <t>PR02-CAL-HAP-005</t>
        </is>
      </c>
      <c r="B73" s="23" t="inlineStr">
        <is>
          <t>PR.02</t>
        </is>
      </c>
      <c r="C73" s="23" t="inlineStr">
        <is>
          <t>Công thức tính phí</t>
        </is>
      </c>
      <c r="D73" s="23" t="inlineStr">
        <is>
          <t>Tính toán Case 5: Kiểm tra cấu hình kết hợp đa cấu phần (Số cố định + Tỷ lệ %)</t>
        </is>
      </c>
      <c r="E73" s="23" t="inlineStr">
        <is>
          <t>Calculation</t>
        </is>
      </c>
      <c r="F73" s="23" t="inlineStr">
        <is>
          <t>Regression</t>
        </is>
      </c>
      <c r="G73" s="23" t="inlineStr">
        <is>
          <t>P1</t>
        </is>
      </c>
      <c r="H73" s="23" t="inlineStr">
        <is>
          <t>Form cấu hình đa cấu phần.</t>
        </is>
      </c>
      <c r="I73" s="23" t="inlineStr">
        <is>
          <t>1. Cấu phần 1: Số cố định 30 USD.
2. Cấu phần 2: Tỷ lệ 0.2% (Min 10k, Max 200k).
3. Xác nhận.</t>
        </is>
      </c>
      <c r="J73" s="23" t="inlineStr">
        <is>
          <t>(i) Hệ thống hiển thị biểu thức tổng hợp A + B.
(ii) Lưu đúng thông tin cấu phần.</t>
        </is>
      </c>
      <c r="K73" s="23" t="inlineStr">
        <is>
          <t>URD.II.6.3.5</t>
        </is>
      </c>
      <c r="L73" s="23" t="inlineStr">
        <is>
          <t>FORMULA_MULTI_COMP</t>
        </is>
      </c>
      <c r="M73" s="23" t="inlineStr">
        <is>
          <t>CAL-05</t>
        </is>
      </c>
      <c r="N73" s="23" t="inlineStr">
        <is>
          <t>Added by Antigravity Tool</t>
        </is>
      </c>
      <c r="O73" s="23" t="n"/>
      <c r="P73" s="23" t="n"/>
      <c r="Q73" s="23" t="n"/>
      <c r="R73" s="23" t="n"/>
      <c r="S73" s="23" t="n"/>
      <c r="T73" s="23" t="n"/>
      <c r="U73" s="23" t="n"/>
    </row>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sheetData>
  <mergeCells count="1">
    <mergeCell ref="A1:U1"/>
  </mergeCells>
  <conditionalFormatting sqref="U3:U992">
    <cfRule type="cellIs" priority="1" operator="equal" dxfId="1">
      <formula>"Pass"</formula>
    </cfRule>
    <cfRule type="cellIs" priority="2" operator="equal" dxfId="0">
      <formula>"Fail"</formula>
    </cfRule>
  </conditionalFormatting>
  <dataValidations count="2">
    <dataValidation sqref="O3:O68 R3:R68" showDropDown="0" showInputMessage="0" showErrorMessage="0" allowBlank="1" type="list">
      <formula1>"Pass,Fail,Doing,Blocked,N/A"</formula1>
    </dataValidation>
    <dataValidation sqref="P3:P68 S3:S68" showDropDown="0" showInputMessage="0" showErrorMessage="0" allowBlank="1" type="list">
      <formula1>"Định,Thanh,Vân Anh,Hiệp"</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U113"/>
  <sheetViews>
    <sheetView workbookViewId="0">
      <pane ySplit="2" topLeftCell="A82" activePane="bottomLeft" state="frozen"/>
      <selection pane="bottomLeft" activeCell="B4" sqref="B4"/>
    </sheetView>
  </sheetViews>
  <sheetFormatPr baseColWidth="10" defaultColWidth="14.5" defaultRowHeight="15" customHeight="1"/>
  <cols>
    <col width="14" customWidth="1" style="17" min="1" max="1"/>
    <col width="8" customWidth="1" style="17" min="2" max="3"/>
    <col width="22" customWidth="1" style="17" min="3" max="3"/>
    <col width="38" customWidth="1" style="17" min="4" max="4"/>
    <col width="12" customWidth="1" style="17" min="5" max="7"/>
    <col width="12" customWidth="1" style="17" min="6" max="6"/>
    <col width="9" customWidth="1" style="17" min="7" max="7"/>
    <col width="32" customWidth="1" style="17" min="8" max="10"/>
    <col width="42" customWidth="1" style="17" min="9" max="9"/>
    <col width="52" customWidth="1" style="17" min="10" max="10"/>
    <col width="22" customWidth="1" style="17" min="11" max="12"/>
    <col width="14" customWidth="1" style="17" min="12" max="12"/>
    <col width="14" customWidth="1" style="17" min="13" max="13"/>
    <col width="22" customWidth="1" style="17" min="14" max="14"/>
    <col width="12" customWidth="1" style="17" min="15" max="21"/>
    <col width="12" customWidth="1" style="17" min="16" max="16"/>
    <col width="12" customWidth="1" style="17" min="17" max="17"/>
    <col width="12" customWidth="1" style="17" min="18" max="18"/>
    <col width="12" customWidth="1" style="17" min="19" max="19"/>
    <col width="12" customWidth="1" style="17" min="20" max="20"/>
    <col width="12" customWidth="1" style="17" min="21" max="21"/>
    <col width="8.6640625" customWidth="1" style="17" min="22" max="26"/>
  </cols>
  <sheetData>
    <row r="1" ht="17" customHeight="1" s="17">
      <c r="A1" s="21" t="inlineStr">
        <is>
          <t>TEST CASES — II.5.1.3.  PR.03- Danh mục biểu phí</t>
        </is>
      </c>
    </row>
    <row r="2" ht="16" customHeight="1" s="17">
      <c r="A2" s="1" t="inlineStr">
        <is>
          <t>TC_ID</t>
        </is>
      </c>
      <c r="B2" s="1" t="inlineStr">
        <is>
          <t>Module</t>
        </is>
      </c>
      <c r="C2" s="1" t="inlineStr">
        <is>
          <t>Feature</t>
        </is>
      </c>
      <c r="D2" s="1" t="inlineStr">
        <is>
          <t>Title</t>
        </is>
      </c>
      <c r="E2" s="1" t="inlineStr">
        <is>
          <t>Type</t>
        </is>
      </c>
      <c r="F2" s="1" t="inlineStr">
        <is>
          <t>Category</t>
        </is>
      </c>
      <c r="G2" s="1" t="inlineStr">
        <is>
          <t>Priority</t>
        </is>
      </c>
      <c r="H2" s="1" t="inlineStr">
        <is>
          <t>Precondition</t>
        </is>
      </c>
      <c r="I2" s="1" t="inlineStr">
        <is>
          <t>Steps</t>
        </is>
      </c>
      <c r="J2" s="1" t="inlineStr">
        <is>
          <t>(i) Nghiệp vụ/Logic: Title thành công theo quy trình của [BR_Ref].
(ii) Dữ liệu: Ghi nhận thông tin vào Database chính xác, đầy đủ các trường.
(iii) Trạng thái: Bản ghi được chuyển sang 'Chờ duyệt'.</t>
        </is>
      </c>
      <c r="K2" s="1" t="inlineStr">
        <is>
          <t>URD_Ref</t>
        </is>
      </c>
      <c r="L2" s="1" t="inlineStr">
        <is>
          <t>BR_Ref</t>
        </is>
      </c>
      <c r="M2" s="1" t="inlineStr">
        <is>
          <t>Trace_ID</t>
        </is>
      </c>
      <c r="N2" s="1" t="inlineStr">
        <is>
          <t>Note</t>
        </is>
      </c>
      <c r="O2" s="1" t="inlineStr">
        <is>
          <t>Status R1</t>
        </is>
      </c>
      <c r="P2" s="1" t="inlineStr">
        <is>
          <t>Tester R1</t>
        </is>
      </c>
      <c r="Q2" s="1" t="inlineStr">
        <is>
          <t>Date R1</t>
        </is>
      </c>
      <c r="R2" s="1" t="inlineStr">
        <is>
          <t>Status R2</t>
        </is>
      </c>
      <c r="S2" s="1" t="inlineStr">
        <is>
          <t>Tester R2</t>
        </is>
      </c>
      <c r="T2" s="1" t="inlineStr">
        <is>
          <t>Date R2</t>
        </is>
      </c>
      <c r="U2" s="1" t="inlineStr">
        <is>
          <t>Final Status</t>
        </is>
      </c>
    </row>
    <row r="3" ht="80" customHeight="1" s="17">
      <c r="A3" s="23" t="inlineStr">
        <is>
          <t>PR03-br01-HAP-001</t>
        </is>
      </c>
      <c r="B3" s="23" t="inlineStr">
        <is>
          <t>PR03</t>
        </is>
      </c>
      <c r="C3" s="23" t="inlineStr">
        <is>
          <t>Danh mục biểu phí – II.5.1.3.2.c</t>
        </is>
      </c>
      <c r="D3" s="23" t="inlineStr">
        <is>
          <t>Kiểm tra thành công: Luồng Kiểm tra bắt buộc nhập đầy đủ các trường có dấu (*)</t>
        </is>
      </c>
      <c r="E3" s="23" t="inlineStr">
        <is>
          <t>Happy</t>
        </is>
      </c>
      <c r="F3" s="23" t="inlineStr">
        <is>
          <t>Regression</t>
        </is>
      </c>
      <c r="G3" s="23" t="inlineStr">
        <is>
          <t>P2</t>
        </is>
      </c>
      <c r="H3" s="23" t="inlineStr">
        <is>
          <t>1. Maker đăng nhập dữ liệu nền hợp lệ.</t>
        </is>
      </c>
      <c r="I3" s="23" t="inlineStr">
        <is>
          <t>1. Mở Danh mục biểu phí → 'Thêm mới'
2. Nhập đủ trường bắt buộc tương ứng BR
3.
(Nếu áp dụng) 'Tải lên' DS code phí .xlsx
4. Nhấn 'Xác nhận'</t>
        </is>
      </c>
      <c r="J3" s="23" t="inlineStr">
        <is>
          <t>(i) Nghiệp vụ/Logic: Thông tin được xử lý thành công và lưu trữ toàn vẹn dữ liệu.
(ii) UI: Thông báo 'Thao tác thành công'.
(iii) Trạng thái: 'Chờ duyệt' (Maker tạo mới).</t>
        </is>
      </c>
      <c r="K3" s="23" t="inlineStr">
        <is>
          <t>II.5.1.3.2.c</t>
        </is>
      </c>
      <c r="L3" s="23" t="inlineStr">
        <is>
          <t>BR_01</t>
        </is>
      </c>
      <c r="M3" s="23" t="inlineStr">
        <is>
          <t>BR_01-HAPPY</t>
        </is>
      </c>
      <c r="N3" s="23" t="n"/>
      <c r="O3" s="23" t="n"/>
      <c r="P3" s="23" t="n"/>
      <c r="Q3" s="23" t="n"/>
      <c r="R3" s="23" t="n"/>
      <c r="S3" s="23" t="n"/>
      <c r="T3" s="23" t="n"/>
      <c r="U3" s="23">
        <f>IF(R3&lt;&gt;"", R3, O3)</f>
        <v/>
      </c>
    </row>
    <row r="4" ht="96" customHeight="1" s="17">
      <c r="A4" s="23" t="inlineStr">
        <is>
          <t>PR03-br02-HAP-001</t>
        </is>
      </c>
      <c r="B4" s="23" t="inlineStr">
        <is>
          <t>PR03</t>
        </is>
      </c>
      <c r="C4" s="23" t="inlineStr">
        <is>
          <t>Danh mục biểu phí – II.5.1.3.2.c</t>
        </is>
      </c>
      <c r="D4" s="23" t="inlineStr">
        <is>
          <t>Kiểm tra thành công: Luồng Hệ thống yêu cầu nhập ngày tháng chuẩn DD/MM/YYYY</t>
        </is>
      </c>
      <c r="E4" s="23" t="inlineStr">
        <is>
          <t>Happy</t>
        </is>
      </c>
      <c r="F4" s="23" t="inlineStr">
        <is>
          <t>Regression</t>
        </is>
      </c>
      <c r="G4" s="23" t="inlineStr">
        <is>
          <t>P2</t>
        </is>
      </c>
      <c r="H4" s="23" t="inlineStr">
        <is>
          <t>1. Maker đăng nhập dữ liệu nền hợp lệ.</t>
        </is>
      </c>
      <c r="I4" s="23" t="inlineStr">
        <is>
          <t>1. Mở 'Thêm mới'
2. Nhập ngày theo định dạng sai
(31-12-2026/2026/12/
31)
3. Nhấn 'Xác nhận'
4. Quan sát lỗi tại trường ngày</t>
        </is>
      </c>
      <c r="J4" s="23" t="inlineStr">
        <is>
          <t>(i) Nghiệp vụ/Logic: Thông tin được xử lý thành công và lưu trữ toàn vẹn dữ liệu.
(ii) UI: Thông báo 'Thao tác thành công'.
(iii) Trạng thái: 'Chờ duyệt' (Maker tạo mới).</t>
        </is>
      </c>
      <c r="K4" s="23" t="inlineStr">
        <is>
          <t>II.5.1.3.2.c</t>
        </is>
      </c>
      <c r="L4" s="23" t="inlineStr">
        <is>
          <t>BR_02</t>
        </is>
      </c>
      <c r="M4" s="23" t="inlineStr">
        <is>
          <t>BR_02-HAPPY</t>
        </is>
      </c>
      <c r="N4" s="23" t="n"/>
      <c r="O4" s="23" t="n"/>
      <c r="P4" s="23" t="n"/>
      <c r="Q4" s="23" t="n"/>
      <c r="R4" s="23" t="n"/>
      <c r="S4" s="23" t="n"/>
      <c r="T4" s="23" t="n"/>
      <c r="U4" s="23">
        <f>IF(R4&lt;&gt;"", R4, O4)</f>
        <v/>
      </c>
    </row>
    <row r="5" ht="80" customHeight="1" s="17">
      <c r="A5" s="23" t="inlineStr">
        <is>
          <t>PR03-br03-HAP-001</t>
        </is>
      </c>
      <c r="B5" s="23" t="inlineStr">
        <is>
          <t>PR03</t>
        </is>
      </c>
      <c r="C5" s="23" t="inlineStr">
        <is>
          <t>Danh mục biểu phí – II.5.1.3.2.c</t>
        </is>
      </c>
      <c r="D5" s="23" t="inlineStr">
        <is>
          <t>Kiểm tra nút Đóng: Đảm bảo không lưu dữ liệu và thoát form</t>
        </is>
      </c>
      <c r="E5" s="23" t="inlineStr">
        <is>
          <t>Happy</t>
        </is>
      </c>
      <c r="F5" s="23" t="inlineStr">
        <is>
          <t>Regression</t>
        </is>
      </c>
      <c r="G5" s="23" t="inlineStr">
        <is>
          <t>P2</t>
        </is>
      </c>
      <c r="H5" s="23" t="inlineStr">
        <is>
          <t>1. Maker đăng nhập dữ liệu nền hợp lệ.</t>
        </is>
      </c>
      <c r="I5" s="23" t="inlineStr">
        <is>
          <t>1. Mở Danh mục biểu phí → 'Thêm mới'
2. Nhập đủ trường bắt buộc tương ứng BR
3.
(Nếu áp dụng) 'Tải lên' DS code phí .xlsx
4. Nhấn 'Xác nhận'</t>
        </is>
      </c>
      <c r="J5" s="23" t="inlineStr">
        <is>
          <t>(i) Nghiệp vụ/Logic: Hệ thống không lưu thông tin đã nhập.
(ii) UI: Đóng form quay về màn trước.
(iii) Trạng thái: Không tạo bản ghi chờ duyệt.</t>
        </is>
      </c>
      <c r="K5" s="23" t="inlineStr">
        <is>
          <t>II.5.1.3.2.c</t>
        </is>
      </c>
      <c r="L5" s="23" t="inlineStr">
        <is>
          <t>BR_03</t>
        </is>
      </c>
      <c r="M5" s="23" t="inlineStr">
        <is>
          <t>BR_03-HAPPY</t>
        </is>
      </c>
      <c r="N5" s="23" t="n"/>
      <c r="O5" s="23" t="n"/>
      <c r="P5" s="23" t="n"/>
      <c r="Q5" s="23" t="n"/>
      <c r="R5" s="23" t="n"/>
      <c r="S5" s="23" t="n"/>
      <c r="T5" s="23" t="n"/>
      <c r="U5" s="23">
        <f>IF(R5&lt;&gt;"", R5, O5)</f>
        <v/>
      </c>
    </row>
    <row r="6" ht="80" customHeight="1" s="17">
      <c r="A6" s="23" t="inlineStr">
        <is>
          <t>PR03-br04-HAP-001</t>
        </is>
      </c>
      <c r="B6" s="23" t="inlineStr">
        <is>
          <t>PR03</t>
        </is>
      </c>
      <c r="C6" s="23" t="inlineStr">
        <is>
          <t>Danh mục biểu phí – II.5.1.3.2.c</t>
        </is>
      </c>
      <c r="D6" s="23" t="inlineStr">
        <is>
          <t>Kiểm tra thành công: Luồng Cây SPDV/Code phí chỉ hiển thị các mục đã được Checker duyệt</t>
        </is>
      </c>
      <c r="E6" s="23" t="inlineStr">
        <is>
          <t>Happy</t>
        </is>
      </c>
      <c r="F6" s="23" t="inlineStr">
        <is>
          <t>Regression</t>
        </is>
      </c>
      <c r="G6" s="23" t="inlineStr">
        <is>
          <t>P2</t>
        </is>
      </c>
      <c r="H6" s="23" t="inlineStr">
        <is>
          <t>1. Maker đăng nhập dữ liệu nền hợp lệ.</t>
        </is>
      </c>
      <c r="I6" s="23" t="inlineStr">
        <is>
          <t>1. Mở Danh mục biểu phí → 'Thêm mới'
2. Nhập đủ trường bắt buộc tương ứng BR
3.
(Nếu áp dụng) 'Tải lên' DS code phí .xlsx
4. Nhấn 'Xác nhận'</t>
        </is>
      </c>
      <c r="J6" s="23" t="inlineStr">
        <is>
          <t>(i) Nghiệp vụ/Logic: Thông tin được xử lý thành công và lưu trữ toàn vẹn dữ liệu.
(ii) UI: Thông báo 'Thao tác thành công'.
(iii) Trạng thái: 'Chờ duyệt' (Maker tạo mới).</t>
        </is>
      </c>
      <c r="K6" s="23" t="inlineStr">
        <is>
          <t>II.5.1.3.2.c</t>
        </is>
      </c>
      <c r="L6" s="23" t="inlineStr">
        <is>
          <t>BR_04</t>
        </is>
      </c>
      <c r="M6" s="23" t="inlineStr">
        <is>
          <t>BR_04-HAPPY</t>
        </is>
      </c>
      <c r="N6" s="23" t="n"/>
      <c r="O6" s="23" t="n"/>
      <c r="P6" s="23" t="n"/>
      <c r="Q6" s="23" t="n"/>
      <c r="R6" s="23" t="n"/>
      <c r="S6" s="23" t="n"/>
      <c r="T6" s="23" t="n"/>
      <c r="U6" s="23">
        <f>IF(R6&lt;&gt;"", R6, O6)</f>
        <v/>
      </c>
    </row>
    <row r="7" ht="80" customHeight="1" s="17">
      <c r="A7" s="23" t="inlineStr">
        <is>
          <t>PR03-br05-HAP-001</t>
        </is>
      </c>
      <c r="B7" s="23" t="inlineStr">
        <is>
          <t>PR03</t>
        </is>
      </c>
      <c r="C7" s="23" t="inlineStr">
        <is>
          <t>Danh mục biểu phí – II.5.1.3.2.c</t>
        </is>
      </c>
      <c r="D7" s="23" t="inlineStr">
        <is>
          <t>Kiểm tra thành công: Luồng Hệ thống báo lỗi khi nhập trùng Tên hoặc Mã biểu phí</t>
        </is>
      </c>
      <c r="E7" s="23" t="inlineStr">
        <is>
          <t>Happy</t>
        </is>
      </c>
      <c r="F7" s="23" t="inlineStr">
        <is>
          <t>Regression</t>
        </is>
      </c>
      <c r="G7" s="23" t="inlineStr">
        <is>
          <t>P2</t>
        </is>
      </c>
      <c r="H7" s="23" t="inlineStr">
        <is>
          <t>1. Maker đăng nhập dữ liệu nền hợp lệ.</t>
        </is>
      </c>
      <c r="I7" s="23" t="inlineStr">
        <is>
          <t>1. Mở Danh mục biểu phí → 'Thêm mới'
2. Nhập đủ trường bắt buộc tương ứng BR
3.
(Nếu áp dụng) 'Tải lên' DS code phí .xlsx
4. Nhấn 'Xác nhận'</t>
        </is>
      </c>
      <c r="J7" s="23" t="inlineStr">
        <is>
          <t>(i) Nghiệp vụ/Logic: Thông tin được xử lý thành công và lưu trữ toàn vẹn dữ liệu.
(ii) UI: Thông báo 'Thao tác thành công'.
(iii) Trạng thái: 'Chờ duyệt' (Maker tạo mới).</t>
        </is>
      </c>
      <c r="K7" s="23" t="inlineStr">
        <is>
          <t>II.5.1.3.2.c</t>
        </is>
      </c>
      <c r="L7" s="23" t="inlineStr">
        <is>
          <t>BR_05</t>
        </is>
      </c>
      <c r="M7" s="23" t="inlineStr">
        <is>
          <t>BR_05-HAPPY</t>
        </is>
      </c>
      <c r="N7" s="23" t="n"/>
      <c r="O7" s="23" t="n"/>
      <c r="P7" s="23" t="n"/>
      <c r="Q7" s="23" t="n"/>
      <c r="R7" s="23" t="n"/>
      <c r="S7" s="23" t="n"/>
      <c r="T7" s="23" t="n"/>
      <c r="U7" s="23">
        <f>IF(R7&lt;&gt;"", R7, O7)</f>
        <v/>
      </c>
    </row>
    <row r="8" ht="64" customHeight="1" s="17">
      <c r="A8" s="23" t="inlineStr">
        <is>
          <t>PR03-br06-HAP-001</t>
        </is>
      </c>
      <c r="B8" s="23" t="inlineStr">
        <is>
          <t>PR03</t>
        </is>
      </c>
      <c r="C8" s="23" t="inlineStr">
        <is>
          <t>Danh mục biểu phí – II.5.1.3.2.c</t>
        </is>
      </c>
      <c r="D8" s="23" t="inlineStr">
        <is>
          <t>Kiểm tra thành công: Luồng Hệ thống chỉ chấp nhận file danh sách code phí định dạng .xlsx</t>
        </is>
      </c>
      <c r="E8" s="23" t="inlineStr">
        <is>
          <t>Happy</t>
        </is>
      </c>
      <c r="F8" s="23" t="inlineStr">
        <is>
          <t>Regression</t>
        </is>
      </c>
      <c r="G8" s="23" t="inlineStr">
        <is>
          <t>P2</t>
        </is>
      </c>
      <c r="H8" s="23" t="inlineStr">
        <is>
          <t>1. Maker đăng nhập dữ liệu nền hợp lệ.</t>
        </is>
      </c>
      <c r="I8" s="23" t="inlineStr">
        <is>
          <t>1. Mở 'Thêm mới'
2. 'Tải lên' → chọn file .csv/.xls
3. Nhấn 'Xác nhận'
4. Quan sát thông báo định dạng</t>
        </is>
      </c>
      <c r="J8" s="23" t="inlineStr">
        <is>
          <t>(i) Nghiệp vụ/Logic: Thông tin được xử lý thành công và lưu trữ toàn vẹn dữ liệu.
(ii) UI: Thông báo 'Thao tác thành công'.
(iii) Trạng thái: 'Chờ duyệt' (Maker tạo mới).</t>
        </is>
      </c>
      <c r="K8" s="23" t="inlineStr">
        <is>
          <t>II.5.1.3.2.c</t>
        </is>
      </c>
      <c r="L8" s="23" t="inlineStr">
        <is>
          <t>BR_06</t>
        </is>
      </c>
      <c r="M8" s="23" t="inlineStr">
        <is>
          <t>BR_06-HAPPY</t>
        </is>
      </c>
      <c r="N8" s="23" t="n"/>
      <c r="O8" s="23" t="n"/>
      <c r="P8" s="23" t="n"/>
      <c r="Q8" s="23" t="n"/>
      <c r="R8" s="23" t="n"/>
      <c r="S8" s="23" t="n"/>
      <c r="T8" s="23" t="n"/>
      <c r="U8" s="23">
        <f>IF(R8&lt;&gt;"", R8, O8)</f>
        <v/>
      </c>
    </row>
    <row r="9" ht="80" customHeight="1" s="17">
      <c r="A9" s="23" t="inlineStr">
        <is>
          <t>PR03-br07-HAP-001</t>
        </is>
      </c>
      <c r="B9" s="23" t="inlineStr">
        <is>
          <t>PR03</t>
        </is>
      </c>
      <c r="C9" s="23" t="inlineStr">
        <is>
          <t>Danh mục biểu phí – II.5.1.3.2.c</t>
        </is>
      </c>
      <c r="D9" s="23" t="inlineStr">
        <is>
          <t>Kiểm tra thành công: Luồng Chặn Import và báo lỗi chi tiết nếu dữ liệu trong file sai quy định</t>
        </is>
      </c>
      <c r="E9" s="23" t="inlineStr">
        <is>
          <t>Happy</t>
        </is>
      </c>
      <c r="F9" s="23" t="inlineStr">
        <is>
          <t>Regression</t>
        </is>
      </c>
      <c r="G9" s="23" t="inlineStr">
        <is>
          <t>P2</t>
        </is>
      </c>
      <c r="H9" s="23" t="inlineStr">
        <is>
          <t>1. Maker đăng nhập dữ liệu nền hợp lệ.</t>
        </is>
      </c>
      <c r="I9" s="23" t="inlineStr">
        <is>
          <t>1. Mở 'Thêm mới'
2. 'Tải lên' file .xlsx có 3a hợp lệ, 3b thiếu bắt buộc, 3c code không tồn tại
3. Nhấn 'Xác nhận'
4. Quan sát bảng kết quả upload</t>
        </is>
      </c>
      <c r="J9" s="23" t="inlineStr">
        <is>
          <t>(i) Nghiệp vụ/Logic: Thông tin được xử lý thành công và lưu trữ toàn vẹn dữ liệu.
(ii) UI: Thông báo 'Thao tác thành công'.
(iii) Trạng thái: 'Chờ duyệt' (Maker tạo mới).</t>
        </is>
      </c>
      <c r="K9" s="23" t="inlineStr">
        <is>
          <t>II.5.1.3.2.c</t>
        </is>
      </c>
      <c r="L9" s="23" t="inlineStr">
        <is>
          <t>BR_07</t>
        </is>
      </c>
      <c r="M9" s="23" t="inlineStr">
        <is>
          <t>BR_07-HAPPY</t>
        </is>
      </c>
      <c r="N9" s="23" t="n"/>
      <c r="O9" s="23" t="n"/>
      <c r="P9" s="23" t="n"/>
      <c r="Q9" s="23" t="n"/>
      <c r="R9" s="23" t="n"/>
      <c r="S9" s="23" t="n"/>
      <c r="T9" s="23" t="n"/>
      <c r="U9" s="23">
        <f>IF(R9&lt;&gt;"", R9, O9)</f>
        <v/>
      </c>
    </row>
    <row r="10" ht="80" customHeight="1" s="17">
      <c r="A10" s="23" t="inlineStr">
        <is>
          <t>PR03-br08-HAP-001</t>
        </is>
      </c>
      <c r="B10" s="23" t="inlineStr">
        <is>
          <t>PR03</t>
        </is>
      </c>
      <c r="C10" s="23" t="inlineStr">
        <is>
          <t>Danh mục biểu phí – II.5.1.3.2.c</t>
        </is>
      </c>
      <c r="D10" s="23" t="inlineStr">
        <is>
          <t>Kiểm tra thành công: Luồng BR_08 – SPDV chi tiết phải là cấp cuối đã duyệt – Happy</t>
        </is>
      </c>
      <c r="E10" s="23" t="inlineStr">
        <is>
          <t>Happy</t>
        </is>
      </c>
      <c r="F10" s="23" t="inlineStr">
        <is>
          <t>Regression</t>
        </is>
      </c>
      <c r="G10" s="23" t="inlineStr">
        <is>
          <t>P2</t>
        </is>
      </c>
      <c r="H10" s="23" t="inlineStr">
        <is>
          <t>1. Maker đăng nhập dữ liệu nền hợp lệ.</t>
        </is>
      </c>
      <c r="I10" s="23" t="inlineStr">
        <is>
          <t>1. Mở Danh mục biểu phí → 'Thêm mới'
2. Nhập đủ trường bắt buộc tương ứng BR
3.
(Nếu áp dụng) 'Tải lên' DS code phí .xlsx
4. Nhấn 'Xác nhận'</t>
        </is>
      </c>
      <c r="J10" s="23" t="inlineStr">
        <is>
          <t>(i) Nghiệp vụ/Logic: Thông tin được xử lý thành công và lưu trữ toàn vẹn dữ liệu.
(ii) UI: Thông báo 'Thao tác thành công'.
(iii) Trạng thái: 'Chờ duyệt' (Maker tạo mới).</t>
        </is>
      </c>
      <c r="K10" s="23" t="inlineStr">
        <is>
          <t>II.5.1.3.2.c</t>
        </is>
      </c>
      <c r="L10" s="23" t="inlineStr">
        <is>
          <t>BR_08</t>
        </is>
      </c>
      <c r="M10" s="23" t="inlineStr">
        <is>
          <t>BR_08-HAPPY</t>
        </is>
      </c>
      <c r="N10" s="23" t="n"/>
      <c r="O10" s="23" t="n"/>
      <c r="P10" s="23" t="n"/>
      <c r="Q10" s="23" t="n"/>
      <c r="R10" s="23" t="n"/>
      <c r="S10" s="23" t="n"/>
      <c r="T10" s="23" t="n"/>
      <c r="U10" s="23">
        <f>IF(R10&lt;&gt;"", R10, O10)</f>
        <v/>
      </c>
    </row>
    <row r="11" ht="80" customHeight="1" s="17">
      <c r="A11" s="23" t="inlineStr">
        <is>
          <t>PR03-br09-HAP-001</t>
        </is>
      </c>
      <c r="B11" s="23" t="inlineStr">
        <is>
          <t>PR03</t>
        </is>
      </c>
      <c r="C11" s="23" t="inlineStr">
        <is>
          <t>Danh mục biểu phí – II.5.1.3.2.c</t>
        </is>
      </c>
      <c r="D11" s="23" t="inlineStr">
        <is>
          <t>Kiểm tra thành công: Luồng BR_09 – Cho phép nhập URL Edoc – Happy</t>
        </is>
      </c>
      <c r="E11" s="23" t="inlineStr">
        <is>
          <t>Happy</t>
        </is>
      </c>
      <c r="F11" s="23" t="inlineStr">
        <is>
          <t>Regression</t>
        </is>
      </c>
      <c r="G11" s="23" t="inlineStr">
        <is>
          <t>P2</t>
        </is>
      </c>
      <c r="H11" s="23" t="inlineStr">
        <is>
          <t>1. Maker đăng nhập dữ liệu nền hợp lệ.</t>
        </is>
      </c>
      <c r="I11" s="23" t="inlineStr">
        <is>
          <t>1. Mở Danh mục biểu phí → 'Thêm mới'
2. Nhập đủ trường bắt buộc tương ứng BR
3.
(Nếu áp dụng) 'Tải lên' DS code phí .xlsx
4. Nhấn 'Xác nhận'</t>
        </is>
      </c>
      <c r="J11" s="23" t="inlineStr">
        <is>
          <t>(i) Nghiệp vụ/Logic: Thông tin được xử lý thành công và lưu trữ toàn vẹn dữ liệu.
(ii) UI: Thông báo 'Thao tác thành công'.
(iii) Trạng thái: 'Chờ duyệt' (Maker tạo mới).</t>
        </is>
      </c>
      <c r="K11" s="23" t="inlineStr">
        <is>
          <t>II.5.1.3.2.c</t>
        </is>
      </c>
      <c r="L11" s="23" t="inlineStr">
        <is>
          <t>BR_09</t>
        </is>
      </c>
      <c r="M11" s="23" t="inlineStr">
        <is>
          <t>BR_09-HAPPY</t>
        </is>
      </c>
      <c r="N11" s="23" t="n"/>
      <c r="O11" s="23" t="n"/>
      <c r="P11" s="23" t="n"/>
      <c r="Q11" s="23" t="n"/>
      <c r="R11" s="23" t="n"/>
      <c r="S11" s="23" t="n"/>
      <c r="T11" s="23" t="n"/>
      <c r="U11" s="23">
        <f>IF(R11&lt;&gt;"", R11, O11)</f>
        <v/>
      </c>
    </row>
    <row r="12" ht="80" customHeight="1" s="17">
      <c r="A12" s="23" t="inlineStr">
        <is>
          <t>PR03-br10-HAP-001</t>
        </is>
      </c>
      <c r="B12" s="23" t="inlineStr">
        <is>
          <t>PR03</t>
        </is>
      </c>
      <c r="C12" s="23" t="inlineStr">
        <is>
          <t>Danh mục biểu phí – II.5.1.3.2.c</t>
        </is>
      </c>
      <c r="D12" s="23" t="inlineStr">
        <is>
          <t>Kiểm tra thành công: Luồng Mã Code phí phải được hệ thống sinh tự động theo quy tắc ngân hàng</t>
        </is>
      </c>
      <c r="E12" s="23" t="inlineStr">
        <is>
          <t>Happy</t>
        </is>
      </c>
      <c r="F12" s="23" t="inlineStr">
        <is>
          <t>Regression</t>
        </is>
      </c>
      <c r="G12" s="23" t="inlineStr">
        <is>
          <t>P2</t>
        </is>
      </c>
      <c r="H12" s="23" t="inlineStr">
        <is>
          <t>1. Maker đăng nhập dữ liệu nền hợp lệ.</t>
        </is>
      </c>
      <c r="I12" s="23" t="inlineStr">
        <is>
          <t>1. Mở Danh mục biểu phí → 'Thêm mới'
2. Nhập đủ trường bắt buộc tương ứng BR
3.
(Nếu áp dụng) 'Tải lên' DS code phí .xlsx
4. Nhấn 'Xác nhận'</t>
        </is>
      </c>
      <c r="J12" s="23" t="inlineStr">
        <is>
          <t>(i) Nghiệp vụ/Logic: Thông tin được xử lý thành công và lưu trữ toàn vẹn dữ liệu.
(ii) UI: Thông báo 'Thao tác thành công'.
(iii) Trạng thái: 'Chờ duyệt' (Maker tạo mới).</t>
        </is>
      </c>
      <c r="K12" s="23" t="inlineStr">
        <is>
          <t>II.5.1.3.2.c</t>
        </is>
      </c>
      <c r="L12" s="23" t="inlineStr">
        <is>
          <t>BR_10</t>
        </is>
      </c>
      <c r="M12" s="23" t="inlineStr">
        <is>
          <t>BR_10-HAPPY</t>
        </is>
      </c>
      <c r="N12" s="23" t="n"/>
      <c r="O12" s="23" t="n"/>
      <c r="P12" s="23" t="n"/>
      <c r="Q12" s="23" t="n"/>
      <c r="R12" s="23" t="n"/>
      <c r="S12" s="23" t="n"/>
      <c r="T12" s="23" t="n"/>
      <c r="U12" s="23">
        <f>IF(R12&lt;&gt;"", R12, O12)</f>
        <v/>
      </c>
    </row>
    <row r="13" ht="80" customHeight="1" s="17">
      <c r="A13" s="23" t="inlineStr">
        <is>
          <t>PR03-br11-HAP-001</t>
        </is>
      </c>
      <c r="B13" s="23" t="inlineStr">
        <is>
          <t>PR03</t>
        </is>
      </c>
      <c r="C13" s="23" t="inlineStr">
        <is>
          <t>Danh mục biểu phí – II.5.1.3.2.c</t>
        </is>
      </c>
      <c r="D13" s="23" t="inlineStr">
        <is>
          <t>Kiểm tra thành công: Luồng BR_11 – Bản ghi tạo mới chưa duyệt KHÔNG hiển thị trên lưới – Happy</t>
        </is>
      </c>
      <c r="E13" s="23" t="inlineStr">
        <is>
          <t>Happy</t>
        </is>
      </c>
      <c r="F13" s="23" t="inlineStr">
        <is>
          <t>Regression</t>
        </is>
      </c>
      <c r="G13" s="23" t="inlineStr">
        <is>
          <t>P2</t>
        </is>
      </c>
      <c r="H13" s="23" t="inlineStr">
        <is>
          <t>1. Maker đăng nhập dữ liệu nền hợp lệ.</t>
        </is>
      </c>
      <c r="I13" s="23" t="inlineStr">
        <is>
          <t>1. Mở Danh mục biểu phí → 'Thêm mới'
2. Nhập đủ trường bắt buộc tương ứng BR
3.
(Nếu áp dụng) 'Tải lên' DS code phí .xlsx
4. Nhấn 'Xác nhận'</t>
        </is>
      </c>
      <c r="J13" s="23" t="inlineStr">
        <is>
          <t>(i) Nghiệp vụ/Logic: Thông tin được xử lý thành công và lưu trữ toàn vẹn dữ liệu.
(ii) UI: Thông báo 'Thao tác thành công'.
(iii) Trạng thái: 'Chờ duyệt' (Maker tạo mới).</t>
        </is>
      </c>
      <c r="K13" s="23" t="inlineStr">
        <is>
          <t>II.5.1.3.2.c</t>
        </is>
      </c>
      <c r="L13" s="23" t="inlineStr">
        <is>
          <t>BR_11</t>
        </is>
      </c>
      <c r="M13" s="23" t="inlineStr">
        <is>
          <t>BR_11-HAPPY</t>
        </is>
      </c>
      <c r="N13" s="23" t="n"/>
      <c r="O13" s="23" t="n"/>
      <c r="P13" s="23" t="n"/>
      <c r="Q13" s="23" t="n"/>
      <c r="R13" s="23" t="n"/>
      <c r="S13" s="23" t="n"/>
      <c r="T13" s="23" t="n"/>
      <c r="U13" s="23">
        <f>IF(R13&lt;&gt;"", R13, O13)</f>
        <v/>
      </c>
    </row>
    <row r="14" ht="80" customHeight="1" s="17">
      <c r="A14" s="23" t="inlineStr">
        <is>
          <t>PR03-br12-HAP-001</t>
        </is>
      </c>
      <c r="B14" s="23" t="inlineStr">
        <is>
          <t>PR03</t>
        </is>
      </c>
      <c r="C14" s="23" t="inlineStr">
        <is>
          <t>Danh mục biểu phí – II.5.1.3.2.c</t>
        </is>
      </c>
      <c r="D14" s="23" t="inlineStr">
        <is>
          <t>Kiểm tra thành công: Luồng Bản ghi tạo mới phải ở trạng thái Chờ duyệt và xuất hiện tại màn hình Checker</t>
        </is>
      </c>
      <c r="E14" s="23" t="inlineStr">
        <is>
          <t>Happy</t>
        </is>
      </c>
      <c r="F14" s="23" t="inlineStr">
        <is>
          <t>Regression</t>
        </is>
      </c>
      <c r="G14" s="23" t="inlineStr">
        <is>
          <t>P2</t>
        </is>
      </c>
      <c r="H14" s="23" t="inlineStr">
        <is>
          <t>1. Maker đăng nhập dữ liệu nền hợp lệ.</t>
        </is>
      </c>
      <c r="I14" s="23" t="inlineStr">
        <is>
          <t>1. Mở Danh mục biểu phí → 'Thêm mới'
2. Nhập đủ trường bắt buộc tương ứng BR
3.
(Nếu áp dụng) 'Tải lên' DS code phí .xlsx
4. Nhấn 'Xác nhận'</t>
        </is>
      </c>
      <c r="J14" s="23" t="inlineStr">
        <is>
          <t>(i) Nghiệp vụ/Logic: Thông tin được xử lý thành công và lưu trữ toàn vẹn dữ liệu.
(ii) UI: Thông báo 'Thao tác thành công'.
(iii) Trạng thái: 'Chờ duyệt' (Maker tạo mới).</t>
        </is>
      </c>
      <c r="K14" s="23" t="inlineStr">
        <is>
          <t>II.5.1.3.2.c</t>
        </is>
      </c>
      <c r="L14" s="23" t="inlineStr">
        <is>
          <t>BR_12</t>
        </is>
      </c>
      <c r="M14" s="23" t="inlineStr">
        <is>
          <t>BR_12-HAPPY</t>
        </is>
      </c>
      <c r="N14" s="23" t="n"/>
      <c r="O14" s="23" t="n"/>
      <c r="P14" s="23" t="n"/>
      <c r="Q14" s="23" t="n"/>
      <c r="R14" s="23" t="n"/>
      <c r="S14" s="23" t="n"/>
      <c r="T14" s="23" t="n"/>
      <c r="U14" s="23">
        <f>IF(R14&lt;&gt;"", R14, O14)</f>
        <v/>
      </c>
    </row>
    <row r="15" ht="80" customHeight="1" s="17">
      <c r="A15" s="23" t="inlineStr">
        <is>
          <t>PR03-br13-HAP-001</t>
        </is>
      </c>
      <c r="B15" s="23" t="inlineStr">
        <is>
          <t>PR03</t>
        </is>
      </c>
      <c r="C15" s="23" t="inlineStr">
        <is>
          <t>Danh mục biểu phí – II.5.1.3.2.c</t>
        </is>
      </c>
      <c r="D15" s="23" t="inlineStr">
        <is>
          <t>Kiểm tra thành công: Luồng SS)</t>
        </is>
      </c>
      <c r="E15" s="23" t="inlineStr">
        <is>
          <t>Happy</t>
        </is>
      </c>
      <c r="F15" s="23" t="inlineStr">
        <is>
          <t>Regression</t>
        </is>
      </c>
      <c r="G15" s="23" t="inlineStr">
        <is>
          <t>P2</t>
        </is>
      </c>
      <c r="H15" s="23" t="inlineStr">
        <is>
          <t>1. Maker đăng nhập dữ liệu nền hợp lệ.</t>
        </is>
      </c>
      <c r="I15" s="23" t="inlineStr">
        <is>
          <t>1. Mở Danh mục biểu phí → 'Thêm mới'
2. Nhập đủ trường bắt buộc tương ứng BR
3.
(Nếu áp dụng) 'Tải lên' DS code phí .xlsx
4. Nhấn 'Xác nhận'</t>
        </is>
      </c>
      <c r="J15" s="23" t="inlineStr">
        <is>
          <t>(i) Nghiệp vụ/Logic: Thông tin được xử lý thành công và lưu trữ toàn vẹn dữ liệu.
(ii) UI: Thông báo 'Thao tác thành công'.
(iii) Trạng thái: 'Chờ duyệt' (Maker tạo mới).</t>
        </is>
      </c>
      <c r="K15" s="23" t="inlineStr">
        <is>
          <t>II.5.1.3.2.c</t>
        </is>
      </c>
      <c r="L15" s="23" t="inlineStr">
        <is>
          <t>BR_13</t>
        </is>
      </c>
      <c r="M15" s="23" t="inlineStr">
        <is>
          <t>BR_13-HAPPY</t>
        </is>
      </c>
      <c r="N15" s="23" t="n"/>
      <c r="O15" s="23" t="n"/>
      <c r="P15" s="23" t="n"/>
      <c r="Q15" s="23" t="n"/>
      <c r="R15" s="23" t="n"/>
      <c r="S15" s="23" t="n"/>
      <c r="T15" s="23" t="n"/>
      <c r="U15" s="23">
        <f>IF(R15&lt;&gt;"", R15, O15)</f>
        <v/>
      </c>
    </row>
    <row r="16" ht="80" customHeight="1" s="17">
      <c r="A16" s="23" t="inlineStr">
        <is>
          <t>PR03-br14-HAP-001</t>
        </is>
      </c>
      <c r="B16" s="23" t="inlineStr">
        <is>
          <t>PR03</t>
        </is>
      </c>
      <c r="C16" s="23" t="inlineStr">
        <is>
          <t>Danh mục biểu phí – II.5.1.3.2.c</t>
        </is>
      </c>
      <c r="D16" s="23" t="inlineStr">
        <is>
          <t>Kiểm tra thành công: Luồng BR_14 – Người tạo = username Maker – Happy</t>
        </is>
      </c>
      <c r="E16" s="23" t="inlineStr">
        <is>
          <t>Happy</t>
        </is>
      </c>
      <c r="F16" s="23" t="inlineStr">
        <is>
          <t>Regression</t>
        </is>
      </c>
      <c r="G16" s="23" t="inlineStr">
        <is>
          <t>P2</t>
        </is>
      </c>
      <c r="H16" s="23" t="inlineStr">
        <is>
          <t>1. Maker đăng nhập dữ liệu nền hợp lệ.</t>
        </is>
      </c>
      <c r="I16" s="23" t="inlineStr">
        <is>
          <t>1. Mở Danh mục biểu phí → 'Thêm mới'
2. Nhập đủ trường bắt buộc tương ứng BR
3.
(Nếu áp dụng) 'Tải lên' DS code phí .xlsx
4. Nhấn 'Xác nhận'</t>
        </is>
      </c>
      <c r="J16" s="23" t="inlineStr">
        <is>
          <t>(i) Nghiệp vụ/Logic: Thông tin được xử lý thành công và lưu trữ toàn vẹn dữ liệu.
(ii) UI: Thông báo 'Thao tác thành công'.
(iii) Trạng thái: 'Chờ duyệt' (Maker tạo mới).</t>
        </is>
      </c>
      <c r="K16" s="23" t="inlineStr">
        <is>
          <t>II.5.1.3.2.c</t>
        </is>
      </c>
      <c r="L16" s="23" t="inlineStr">
        <is>
          <t>BR_14</t>
        </is>
      </c>
      <c r="M16" s="23" t="inlineStr">
        <is>
          <t>BR_14-HAPPY</t>
        </is>
      </c>
      <c r="N16" s="23" t="n"/>
      <c r="O16" s="23" t="n"/>
      <c r="P16" s="23" t="n"/>
      <c r="Q16" s="23" t="n"/>
      <c r="R16" s="23" t="n"/>
      <c r="S16" s="23" t="n"/>
      <c r="T16" s="23" t="n"/>
      <c r="U16" s="23">
        <f>IF(R16&lt;&gt;"", R16, O16)</f>
        <v/>
      </c>
    </row>
    <row r="17" ht="80" customHeight="1" s="17">
      <c r="A17" s="23" t="inlineStr">
        <is>
          <t>PR03-br01-HAP-002</t>
        </is>
      </c>
      <c r="B17" s="23" t="inlineStr">
        <is>
          <t>PR03</t>
        </is>
      </c>
      <c r="C17" s="23" t="inlineStr">
        <is>
          <t>Danh mục biểu phí – II.5.1.3.3.c</t>
        </is>
      </c>
      <c r="D17" s="23" t="inlineStr">
        <is>
          <t>Kiểm tra thành công: Luồng bắt buộc đủ trường * – Happy</t>
        </is>
      </c>
      <c r="E17" s="23" t="inlineStr">
        <is>
          <t>Happy</t>
        </is>
      </c>
      <c r="F17" s="23" t="inlineStr">
        <is>
          <t>Regression</t>
        </is>
      </c>
      <c r="G17" s="23" t="inlineStr">
        <is>
          <t>P2</t>
        </is>
      </c>
      <c r="H17" s="23" t="inlineStr">
        <is>
          <t>1. Maker đăng nhập dữ liệu nền hợp lệ.</t>
        </is>
      </c>
      <c r="I17" s="23" t="inlineStr">
        <is>
          <t>1. Chọn 1 biểu phí nguồn → 'Sao chép'
2. Kiểm tra dữ liệu sao chép, chỉnh sửa theo BR
3.
(Nếu áp dụng) 'Tải lên' DS code phí
4. Nhấn 'Xác nhận'</t>
        </is>
      </c>
      <c r="J17" s="23" t="inlineStr">
        <is>
          <t>(i) Nghiệp vụ/Logic: Thông tin được xử lý thành công và lưu trữ toàn vẹn dữ liệu.
(ii) UI: Thông báo 'Thao tác thành công'.
(iii) Trạng thái: 'Chờ duyệt' (Maker tạo mới).</t>
        </is>
      </c>
      <c r="K17" s="23" t="inlineStr">
        <is>
          <t>II.5.1.3.3.c</t>
        </is>
      </c>
      <c r="L17" s="23" t="inlineStr">
        <is>
          <t>BR_01</t>
        </is>
      </c>
      <c r="M17" s="23" t="inlineStr">
        <is>
          <t>BR_01-HAPPY</t>
        </is>
      </c>
      <c r="N17" s="23" t="n"/>
      <c r="O17" s="23" t="n"/>
      <c r="P17" s="23" t="n"/>
      <c r="Q17" s="23" t="n"/>
      <c r="R17" s="23" t="n"/>
      <c r="S17" s="23" t="n"/>
      <c r="T17" s="23" t="n"/>
      <c r="U17" s="23">
        <f>IF(R17&lt;&gt;"", R17, O17)</f>
        <v/>
      </c>
    </row>
    <row r="18" ht="80" customHeight="1" s="17">
      <c r="A18" s="23" t="inlineStr">
        <is>
          <t>PR03-br02-HAP-002</t>
        </is>
      </c>
      <c r="B18" s="23" t="inlineStr">
        <is>
          <t>PR03</t>
        </is>
      </c>
      <c r="C18" s="23" t="inlineStr">
        <is>
          <t>Danh mục biểu phí – II.5.1.3.3.c</t>
        </is>
      </c>
      <c r="D18" s="23" t="inlineStr">
        <is>
          <t>Kiểm tra nút Đóng: Đảm bảo không lưu dữ liệu và thoát form</t>
        </is>
      </c>
      <c r="E18" s="23" t="inlineStr">
        <is>
          <t>Happy</t>
        </is>
      </c>
      <c r="F18" s="23" t="inlineStr">
        <is>
          <t>Regression</t>
        </is>
      </c>
      <c r="G18" s="23" t="inlineStr">
        <is>
          <t>P2</t>
        </is>
      </c>
      <c r="H18" s="23" t="inlineStr">
        <is>
          <t>1. Maker đăng nhập dữ liệu nền hợp lệ.</t>
        </is>
      </c>
      <c r="I18" s="23" t="inlineStr">
        <is>
          <t>1. Chọn 1 biểu phí nguồn → 'Sao chép'
2. Kiểm tra dữ liệu sao chép, chỉnh sửa theo BR
3.
(Nếu áp dụng) 'Tải lên' DS code phí
4. Nhấn 'Xác nhận'</t>
        </is>
      </c>
      <c r="J18" s="23" t="inlineStr">
        <is>
          <t>(i) Nghiệp vụ/Logic: Hệ thống không lưu thông tin đã nhập.
(ii) UI: Đóng form quay về màn trước.
(iii) Trạng thái: Không tạo bản ghi chờ duyệt.</t>
        </is>
      </c>
      <c r="K18" s="23" t="inlineStr">
        <is>
          <t>II.5.1.3.3.c</t>
        </is>
      </c>
      <c r="L18" s="23" t="inlineStr">
        <is>
          <t>BR_02</t>
        </is>
      </c>
      <c r="M18" s="23" t="inlineStr">
        <is>
          <t>BR_02-HAPPY</t>
        </is>
      </c>
      <c r="N18" s="23" t="n"/>
      <c r="O18" s="23" t="n"/>
      <c r="P18" s="23" t="n"/>
      <c r="Q18" s="23" t="n"/>
      <c r="R18" s="23" t="n"/>
      <c r="S18" s="23" t="n"/>
      <c r="T18" s="23" t="n"/>
      <c r="U18" s="23">
        <f>IF(R18&lt;&gt;"", R18, O18)</f>
        <v/>
      </c>
    </row>
    <row r="19" ht="80" customHeight="1" s="17">
      <c r="A19" s="23" t="inlineStr">
        <is>
          <t>PR03-br03-HAP-002</t>
        </is>
      </c>
      <c r="B19" s="23" t="inlineStr">
        <is>
          <t>PR03</t>
        </is>
      </c>
      <c r="C19" s="23" t="inlineStr">
        <is>
          <t>Danh mục biểu phí – II.5.1.3.3.c</t>
        </is>
      </c>
      <c r="D19" s="23" t="inlineStr">
        <is>
          <t>Kiểm tra thành công: Luồng Tên/Mã biểu phí duy nhất – Happy</t>
        </is>
      </c>
      <c r="E19" s="23" t="inlineStr">
        <is>
          <t>Happy</t>
        </is>
      </c>
      <c r="F19" s="23" t="inlineStr">
        <is>
          <t>Regression</t>
        </is>
      </c>
      <c r="G19" s="23" t="inlineStr">
        <is>
          <t>P2</t>
        </is>
      </c>
      <c r="H19" s="23" t="inlineStr">
        <is>
          <t>1. Maker đăng nhập dữ liệu nền hợp lệ.</t>
        </is>
      </c>
      <c r="I19" s="23" t="inlineStr">
        <is>
          <t>1. Chọn 1 biểu phí nguồn → 'Sao chép'
2. Kiểm tra dữ liệu sao chép, chỉnh sửa theo BR
3.
(Nếu áp dụng) 'Tải lên' DS code phí
4. Nhấn 'Xác nhận'</t>
        </is>
      </c>
      <c r="J19" s="23" t="inlineStr">
        <is>
          <t>(i) Nghiệp vụ/Logic: Thông tin được xử lý thành công và lưu trữ toàn vẹn dữ liệu.
(ii) UI: Thông báo 'Thao tác thành công'.
(iii) Trạng thái: 'Chờ duyệt' (Maker tạo mới).</t>
        </is>
      </c>
      <c r="K19" s="23" t="inlineStr">
        <is>
          <t>II.5.1.3.3.c</t>
        </is>
      </c>
      <c r="L19" s="23" t="inlineStr">
        <is>
          <t>BR_03</t>
        </is>
      </c>
      <c r="M19" s="23" t="inlineStr">
        <is>
          <t>BR_03-HAPPY</t>
        </is>
      </c>
      <c r="N19" s="23" t="n"/>
      <c r="O19" s="23" t="n"/>
      <c r="P19" s="23" t="n"/>
      <c r="Q19" s="23" t="n"/>
      <c r="R19" s="23" t="n"/>
      <c r="S19" s="23" t="n"/>
      <c r="T19" s="23" t="n"/>
      <c r="U19" s="23">
        <f>IF(R19&lt;&gt;"", R19, O19)</f>
        <v/>
      </c>
    </row>
    <row r="20" ht="80" customHeight="1" s="17">
      <c r="A20" s="23" t="inlineStr">
        <is>
          <t>PR03-br04-HAP-002</t>
        </is>
      </c>
      <c r="B20" s="23" t="inlineStr">
        <is>
          <t>PR03</t>
        </is>
      </c>
      <c r="C20" s="23" t="inlineStr">
        <is>
          <t>Danh mục biểu phí – II.5.1.3.3.c</t>
        </is>
      </c>
      <c r="D20" s="23" t="inlineStr">
        <is>
          <t>Kiểm tra thành công: Luồng Kiểm tra lưới chi tiết hiển thị đúng danh sách code phí của biểu phí gốc</t>
        </is>
      </c>
      <c r="E20" s="23" t="inlineStr">
        <is>
          <t>Happy</t>
        </is>
      </c>
      <c r="F20" s="23" t="inlineStr">
        <is>
          <t>Regression</t>
        </is>
      </c>
      <c r="G20" s="23" t="inlineStr">
        <is>
          <t>P2</t>
        </is>
      </c>
      <c r="H20" s="23" t="inlineStr">
        <is>
          <t>1. Maker đăng nhập dữ liệu nền hợp lệ.</t>
        </is>
      </c>
      <c r="I20" s="23" t="inlineStr">
        <is>
          <t>1. Chọn 1 biểu phí nguồn → 'Sao chép'
2. Kiểm tra dữ liệu sao chép, chỉnh sửa theo BR
3.
(Nếu áp dụng) 'Tải lên' DS code phí
4. Nhấn 'Xác nhận'</t>
        </is>
      </c>
      <c r="J20" s="23" t="inlineStr">
        <is>
          <t>(i) Nghiệp vụ/Logic: Thông tin được xử lý thành công và lưu trữ toàn vẹn dữ liệu.
(ii) UI: Thông báo 'Thao tác thành công'.
(iii) Trạng thái: 'Chờ duyệt' (Maker tạo mới).</t>
        </is>
      </c>
      <c r="K20" s="23" t="inlineStr">
        <is>
          <t>II.5.1.3.3.c</t>
        </is>
      </c>
      <c r="L20" s="23" t="inlineStr">
        <is>
          <t>BR_04</t>
        </is>
      </c>
      <c r="M20" s="23" t="inlineStr">
        <is>
          <t>BR_04-HAPPY</t>
        </is>
      </c>
      <c r="N20" s="23" t="n"/>
      <c r="O20" s="23" t="n"/>
      <c r="P20" s="23" t="n"/>
      <c r="Q20" s="23" t="n"/>
      <c r="R20" s="23" t="n"/>
      <c r="S20" s="23" t="n"/>
      <c r="T20" s="23" t="n"/>
      <c r="U20" s="23">
        <f>IF(R20&lt;&gt;"", R20, O20)</f>
        <v/>
      </c>
    </row>
    <row r="21" ht="15.75" customHeight="1" s="17">
      <c r="A21" s="23" t="inlineStr">
        <is>
          <t>PR03-br05-HAP-002</t>
        </is>
      </c>
      <c r="B21" s="23" t="inlineStr">
        <is>
          <t>PR03</t>
        </is>
      </c>
      <c r="C21" s="23" t="inlineStr">
        <is>
          <t>Danh mục biểu phí – II.5.1.3.3.c</t>
        </is>
      </c>
      <c r="D21" s="23" t="inlineStr">
        <is>
          <t>Kiểm tra thành công: Luồng có thể upload DS code phí – Happy</t>
        </is>
      </c>
      <c r="E21" s="23" t="inlineStr">
        <is>
          <t>Happy</t>
        </is>
      </c>
      <c r="F21" s="23" t="inlineStr">
        <is>
          <t>Regression</t>
        </is>
      </c>
      <c r="G21" s="23" t="inlineStr">
        <is>
          <t>P2</t>
        </is>
      </c>
      <c r="H21" s="23" t="inlineStr">
        <is>
          <t>1. Maker đăng nhập dữ liệu nền hợp lệ.</t>
        </is>
      </c>
      <c r="I21" s="23" t="inlineStr">
        <is>
          <t>1. Chọn 1 biểu phí nguồn → 'Sao chép'
2. Kiểm tra dữ liệu sao chép, chỉnh sửa theo BR
3.
(Nếu áp dụng) 'Tải lên' DS code phí
4. Nhấn 'Xác nhận'</t>
        </is>
      </c>
      <c r="J21" s="23" t="inlineStr">
        <is>
          <t>(i) Nghiệp vụ/Logic: Thông tin được xử lý thành công và lưu trữ toàn vẹn dữ liệu.
(ii) UI: Thông báo 'Thao tác thành công'.
(iii) Trạng thái: 'Chờ duyệt' (Maker tạo mới).</t>
        </is>
      </c>
      <c r="K21" s="23" t="inlineStr">
        <is>
          <t>II.5.1.3.3.c</t>
        </is>
      </c>
      <c r="L21" s="23" t="inlineStr">
        <is>
          <t>BR_05</t>
        </is>
      </c>
      <c r="M21" s="23" t="inlineStr">
        <is>
          <t>BR_05-HAPPY</t>
        </is>
      </c>
      <c r="N21" s="23" t="n"/>
      <c r="O21" s="23" t="n"/>
      <c r="P21" s="23" t="n"/>
      <c r="Q21" s="23" t="n"/>
      <c r="R21" s="23" t="n"/>
      <c r="S21" s="23" t="n"/>
      <c r="T21" s="23" t="n"/>
      <c r="U21" s="23">
        <f>IF(R21&lt;&gt;"", R21, O21)</f>
        <v/>
      </c>
    </row>
    <row r="22" ht="15.75" customHeight="1" s="17">
      <c r="A22" s="23" t="inlineStr">
        <is>
          <t>PR03-br06-HAP-002</t>
        </is>
      </c>
      <c r="B22" s="23" t="inlineStr">
        <is>
          <t>PR03</t>
        </is>
      </c>
      <c r="C22" s="23" t="inlineStr">
        <is>
          <t>Danh mục biểu phí – II.5.1.3.3.c</t>
        </is>
      </c>
      <c r="D22" s="23" t="inlineStr">
        <is>
          <t>Kiểm tra thành công: Luồng file upload phải .xlsx – Happy</t>
        </is>
      </c>
      <c r="E22" s="23" t="inlineStr">
        <is>
          <t>Happy</t>
        </is>
      </c>
      <c r="F22" s="23" t="inlineStr">
        <is>
          <t>Regression</t>
        </is>
      </c>
      <c r="G22" s="23" t="inlineStr">
        <is>
          <t>P2</t>
        </is>
      </c>
      <c r="H22" s="23" t="inlineStr">
        <is>
          <t>1. Maker đăng nhập dữ liệu nền hợp lệ.</t>
        </is>
      </c>
      <c r="I22" s="23" t="inlineStr">
        <is>
          <t>1. Mở 'Thêm mới'
2. 'Tải lên' → chọn file .csv/.xls
3. Nhấn 'Xác nhận'
4. Quan sát thông báo định dạng</t>
        </is>
      </c>
      <c r="J22" s="23" t="inlineStr">
        <is>
          <t>(i) Nghiệp vụ/Logic: Thông tin được xử lý thành công và lưu trữ toàn vẹn dữ liệu.
(ii) UI: Thông báo 'Thao tác thành công'.
(iii) Trạng thái: 'Chờ duyệt' (Maker tạo mới).</t>
        </is>
      </c>
      <c r="K22" s="23" t="inlineStr">
        <is>
          <t>II.5.1.3.3.c</t>
        </is>
      </c>
      <c r="L22" s="23" t="inlineStr">
        <is>
          <t>BR_06</t>
        </is>
      </c>
      <c r="M22" s="23" t="inlineStr">
        <is>
          <t>BR_06-HAPPY</t>
        </is>
      </c>
      <c r="N22" s="23" t="n"/>
      <c r="O22" s="23" t="n"/>
      <c r="P22" s="23" t="n"/>
      <c r="Q22" s="23" t="n"/>
      <c r="R22" s="23" t="n"/>
      <c r="S22" s="23" t="n"/>
      <c r="T22" s="23" t="n"/>
      <c r="U22" s="23">
        <f>IF(R22&lt;&gt;"", R22, O22)</f>
        <v/>
      </c>
    </row>
    <row r="23" ht="15.75" customHeight="1" s="17">
      <c r="A23" s="23" t="inlineStr">
        <is>
          <t>PR03-br07-HAP-002</t>
        </is>
      </c>
      <c r="B23" s="23" t="inlineStr">
        <is>
          <t>PR03</t>
        </is>
      </c>
      <c r="C23" s="23" t="inlineStr">
        <is>
          <t>Danh mục biểu phí – II.5.1.3.3.c</t>
        </is>
      </c>
      <c r="D23" s="23" t="inlineStr">
        <is>
          <t>Kiểm tra thành công: Luồng validate DS upload, sai thì chặn – Happy</t>
        </is>
      </c>
      <c r="E23" s="23" t="inlineStr">
        <is>
          <t>Happy</t>
        </is>
      </c>
      <c r="F23" s="23" t="inlineStr">
        <is>
          <t>Regression</t>
        </is>
      </c>
      <c r="G23" s="23" t="inlineStr">
        <is>
          <t>P2</t>
        </is>
      </c>
      <c r="H23" s="23" t="inlineStr">
        <is>
          <t>1. Maker đăng nhập dữ liệu nền hợp lệ.</t>
        </is>
      </c>
      <c r="I23" s="23" t="inlineStr">
        <is>
          <t>1. Mở 'Thêm mới'
2. 'Tải lên' file .xlsx có 3a hợp lệ, 3b thiếu bắt buộc, 3c code không tồn tại
3. Nhấn 'Xác nhận'
4. Quan sát bảng kết quả upload</t>
        </is>
      </c>
      <c r="J23" s="23" t="inlineStr">
        <is>
          <t>(i) Nghiệp vụ/Logic: Thông tin được xử lý thành công và lưu trữ toàn vẹn dữ liệu.
(ii) UI: Thông báo 'Thao tác thành công'.
(iii) Trạng thái: 'Chờ duyệt' (Maker tạo mới).
[v0.9-UPD] Hệ thống kiểm tra: Code phí trạng thái = 'Chưa gắn' hoặc 'Ngừng hoạt động' VÀ chưa thuộc Biểu phí nào đang 'Có hiệu lực'. Nếu không thỏa → báo lỗi từng dòng, chặn lưu.</t>
        </is>
      </c>
      <c r="K23" s="23" t="inlineStr">
        <is>
          <t>II.5.1.3.3.c</t>
        </is>
      </c>
      <c r="L23" s="23" t="inlineStr">
        <is>
          <t>BR_07</t>
        </is>
      </c>
      <c r="M23" s="23" t="inlineStr">
        <is>
          <t>BR_07-HAPPY</t>
        </is>
      </c>
      <c r="N23" s="23" t="inlineStr">
        <is>
          <t>[v0.9-UPD] BR_07/08 rule mới về trạng thái code phí import</t>
        </is>
      </c>
      <c r="O23" s="23" t="n"/>
      <c r="P23" s="23" t="n"/>
      <c r="Q23" s="23" t="n"/>
      <c r="R23" s="23" t="n"/>
      <c r="S23" s="23" t="n"/>
      <c r="T23" s="23" t="n"/>
      <c r="U23" s="23">
        <f>IF(R23&lt;&gt;"", R23, O23)</f>
        <v/>
      </c>
    </row>
    <row r="24" ht="15.75" customHeight="1" s="17">
      <c r="A24" s="23" t="inlineStr">
        <is>
          <t>PR03-br08-HAP-002</t>
        </is>
      </c>
      <c r="B24" s="23" t="inlineStr">
        <is>
          <t>PR03</t>
        </is>
      </c>
      <c r="C24" s="23" t="inlineStr">
        <is>
          <t>Danh mục biểu phí – II.5.1.3.3.c</t>
        </is>
      </c>
      <c r="D24" s="23" t="inlineStr">
        <is>
          <t>Kiểm tra thành công: Luồng Kiểm tra tính duy nhất của mã Code phí mới sau khi sao chép</t>
        </is>
      </c>
      <c r="E24" s="23" t="inlineStr">
        <is>
          <t>Happy</t>
        </is>
      </c>
      <c r="F24" s="23" t="inlineStr">
        <is>
          <t>Regression</t>
        </is>
      </c>
      <c r="G24" s="23" t="inlineStr">
        <is>
          <t>P2</t>
        </is>
      </c>
      <c r="H24" s="23" t="inlineStr">
        <is>
          <t>1. Maker đăng nhập dữ liệu nền hợp lệ.</t>
        </is>
      </c>
      <c r="I24" s="23" t="inlineStr">
        <is>
          <t>1. Chọn 1 biểu phí nguồn → 'Sao chép'
2. Kiểm tra dữ liệu sao chép, chỉnh sửa theo BR
3.
(Nếu áp dụng) 'Tải lên' DS code phí
4. Nhấn 'Xác nhận'</t>
        </is>
      </c>
      <c r="J24" s="23" t="inlineStr">
        <is>
          <t>(i) Nghiệp vụ/Logic: Thông tin được xử lý thành công và lưu trữ toàn vẹn dữ liệu.
(ii) UI: Thông báo 'Thao tác thành công'.
(iii) Trạng thái: 'Chờ duyệt' (Maker tạo mới).</t>
        </is>
      </c>
      <c r="K24" s="23" t="inlineStr">
        <is>
          <t>II.5.1.3.3.c</t>
        </is>
      </c>
      <c r="L24" s="23" t="inlineStr">
        <is>
          <t>BR_08</t>
        </is>
      </c>
      <c r="M24" s="23" t="inlineStr">
        <is>
          <t>BR_08-HAPPY</t>
        </is>
      </c>
      <c r="N24" s="23" t="n"/>
      <c r="O24" s="23" t="n"/>
      <c r="P24" s="23" t="n"/>
      <c r="Q24" s="23" t="n"/>
      <c r="R24" s="23" t="n"/>
      <c r="S24" s="23" t="n"/>
      <c r="T24" s="23" t="n"/>
      <c r="U24" s="23">
        <f>IF(R24&lt;&gt;"", R24, O24)</f>
        <v/>
      </c>
    </row>
    <row r="25" ht="15.75" customHeight="1" s="17">
      <c r="A25" s="23" t="inlineStr">
        <is>
          <t>PR03-br09-HAP-002</t>
        </is>
      </c>
      <c r="B25" s="23" t="inlineStr">
        <is>
          <t>PR03</t>
        </is>
      </c>
      <c r="C25" s="23" t="inlineStr">
        <is>
          <t>Danh mục biểu phí – II.5.1.3.3.c</t>
        </is>
      </c>
      <c r="D25" s="23" t="inlineStr">
        <is>
          <t>Kiểm tra thành công: Luồng chưa duyệt không hiển thị lưới – Happy</t>
        </is>
      </c>
      <c r="E25" s="23" t="inlineStr">
        <is>
          <t>Happy</t>
        </is>
      </c>
      <c r="F25" s="23" t="inlineStr">
        <is>
          <t>Regression</t>
        </is>
      </c>
      <c r="G25" s="23" t="inlineStr">
        <is>
          <t>P2</t>
        </is>
      </c>
      <c r="H25" s="23" t="inlineStr">
        <is>
          <t>1. Maker đăng nhập dữ liệu nền hợp lệ.</t>
        </is>
      </c>
      <c r="I25" s="23" t="inlineStr">
        <is>
          <t>1. Chọn 1 biểu phí nguồn → 'Sao chép'
2. Kiểm tra dữ liệu sao chép, chỉnh sửa theo BR
3.
(Nếu áp dụng) 'Tải lên' DS code phí
4. Nhấn 'Xác nhận'</t>
        </is>
      </c>
      <c r="J25" s="23" t="inlineStr">
        <is>
          <t>(i) Nghiệp vụ/Logic: Thông tin được xử lý thành công và lưu trữ toàn vẹn dữ liệu.
(ii) UI: Thông báo 'Thao tác thành công'.
(iii) Trạng thái: 'Chờ duyệt' (Maker tạo mới).</t>
        </is>
      </c>
      <c r="K25" s="23" t="inlineStr">
        <is>
          <t>II.5.1.3.3.c</t>
        </is>
      </c>
      <c r="L25" s="23" t="inlineStr">
        <is>
          <t>BR_09</t>
        </is>
      </c>
      <c r="M25" s="23" t="inlineStr">
        <is>
          <t>BR_09-HAPPY</t>
        </is>
      </c>
      <c r="N25" s="23" t="n"/>
      <c r="O25" s="23" t="n"/>
      <c r="P25" s="23" t="n"/>
      <c r="Q25" s="23" t="n"/>
      <c r="R25" s="23" t="n"/>
      <c r="S25" s="23" t="n"/>
      <c r="T25" s="23" t="n"/>
      <c r="U25" s="23">
        <f>IF(R25&lt;&gt;"", R25, O25)</f>
        <v/>
      </c>
    </row>
    <row r="26" ht="15.75" customHeight="1" s="17">
      <c r="A26" s="23" t="inlineStr">
        <is>
          <t>PR03-br10-HAP-002</t>
        </is>
      </c>
      <c r="B26" s="23" t="inlineStr">
        <is>
          <t>PR03</t>
        </is>
      </c>
      <c r="C26" s="23" t="inlineStr">
        <is>
          <t>Danh mục biểu phí – II.5.1.3.3.c</t>
        </is>
      </c>
      <c r="D26" s="23" t="inlineStr">
        <is>
          <t>Kiểm tra thành công: Luồng tạo ở trạng thái Chờ duyệt; hiển thị ở Tác vụ chờ duyệt – Happy</t>
        </is>
      </c>
      <c r="E26" s="23" t="inlineStr">
        <is>
          <t>Happy</t>
        </is>
      </c>
      <c r="F26" s="23" t="inlineStr">
        <is>
          <t>Regression</t>
        </is>
      </c>
      <c r="G26" s="23" t="inlineStr">
        <is>
          <t>P2</t>
        </is>
      </c>
      <c r="H26" s="23" t="inlineStr">
        <is>
          <t>1. Maker đăng nhập dữ liệu nền hợp lệ.</t>
        </is>
      </c>
      <c r="I26" s="23" t="inlineStr">
        <is>
          <t>1. Chọn 1 biểu phí nguồn → 'Sao chép'
2. Kiểm tra dữ liệu sao chép, chỉnh sửa theo BR
3.
(Nếu áp dụng) 'Tải lên' DS code phí
4. Nhấn 'Xác nhận'</t>
        </is>
      </c>
      <c r="J26" s="23" t="inlineStr">
        <is>
          <t>(i) Nghiệp vụ/Logic: Thông tin được xử lý thành công và lưu trữ toàn vẹn dữ liệu.
(ii) UI: Thông báo 'Thao tác thành công'.
(iii) Trạng thái: 'Chờ duyệt' (Maker tạo mới).</t>
        </is>
      </c>
      <c r="K26" s="23" t="inlineStr">
        <is>
          <t>II.5.1.3.3.c</t>
        </is>
      </c>
      <c r="L26" s="23" t="inlineStr">
        <is>
          <t>BR_10</t>
        </is>
      </c>
      <c r="M26" s="23" t="inlineStr">
        <is>
          <t>BR_10-HAPPY</t>
        </is>
      </c>
      <c r="N26" s="23" t="n"/>
      <c r="O26" s="23" t="n"/>
      <c r="P26" s="23" t="n"/>
      <c r="Q26" s="23" t="n"/>
      <c r="R26" s="23" t="n"/>
      <c r="S26" s="23" t="n"/>
      <c r="T26" s="23" t="n"/>
      <c r="U26" s="23">
        <f>IF(R26&lt;&gt;"", R26, O26)</f>
        <v/>
      </c>
    </row>
    <row r="27" ht="15.75" customHeight="1" s="17">
      <c r="A27" s="23" t="inlineStr">
        <is>
          <t>PR03-br11-HAP-002</t>
        </is>
      </c>
      <c r="B27" s="23" t="inlineStr">
        <is>
          <t>PR03</t>
        </is>
      </c>
      <c r="C27" s="23" t="inlineStr">
        <is>
          <t>Danh mục biểu phí – II.5.1.3.3.c</t>
        </is>
      </c>
      <c r="D27" s="23" t="inlineStr">
        <is>
          <t>Kiểm tra thành công: Luồng Ngày tạo do hệ thống sinh – Happy</t>
        </is>
      </c>
      <c r="E27" s="23" t="inlineStr">
        <is>
          <t>Happy</t>
        </is>
      </c>
      <c r="F27" s="23" t="inlineStr">
        <is>
          <t>Regression</t>
        </is>
      </c>
      <c r="G27" s="23" t="inlineStr">
        <is>
          <t>P2</t>
        </is>
      </c>
      <c r="H27" s="23" t="inlineStr">
        <is>
          <t>1. Maker đăng nhập dữ liệu nền hợp lệ.</t>
        </is>
      </c>
      <c r="I27" s="23" t="inlineStr">
        <is>
          <t>1. Chọn 1 biểu phí nguồn → 'Sao chép'
2. Kiểm tra dữ liệu sao chép, chỉnh sửa theo BR
3.
(Nếu áp dụng) 'Tải lên' DS code phí
4. Nhấn 'Xác nhận'</t>
        </is>
      </c>
      <c r="J27" s="23" t="inlineStr">
        <is>
          <t>(i) Nghiệp vụ/Logic: Thông tin được xử lý thành công và lưu trữ toàn vẹn dữ liệu.
(ii) UI: Thông báo 'Thao tác thành công'.
(iii) Trạng thái: 'Chờ duyệt' (Maker tạo mới).</t>
        </is>
      </c>
      <c r="K27" s="23" t="inlineStr">
        <is>
          <t>II.5.1.3.3.c</t>
        </is>
      </c>
      <c r="L27" s="23" t="inlineStr">
        <is>
          <t>BR_11</t>
        </is>
      </c>
      <c r="M27" s="23" t="inlineStr">
        <is>
          <t>BR_11-HAPPY</t>
        </is>
      </c>
      <c r="N27" s="23" t="n"/>
      <c r="O27" s="23" t="n"/>
      <c r="P27" s="23" t="n"/>
      <c r="Q27" s="23" t="n"/>
      <c r="R27" s="23" t="n"/>
      <c r="S27" s="23" t="n"/>
      <c r="T27" s="23" t="n"/>
      <c r="U27" s="23">
        <f>IF(R27&lt;&gt;"", R27, O27)</f>
        <v/>
      </c>
    </row>
    <row r="28" ht="15.75" customHeight="1" s="17">
      <c r="A28" s="23" t="inlineStr">
        <is>
          <t>PR03-br12-HAP-002</t>
        </is>
      </c>
      <c r="B28" s="23" t="inlineStr">
        <is>
          <t>PR03</t>
        </is>
      </c>
      <c r="C28" s="23" t="inlineStr">
        <is>
          <t>Danh mục biểu phí – II.5.1.3.3.c</t>
        </is>
      </c>
      <c r="D28" s="23" t="inlineStr">
        <is>
          <t>Kiểm tra thành công: Luồng Người tạo = username sao chép – Happy</t>
        </is>
      </c>
      <c r="E28" s="23" t="inlineStr">
        <is>
          <t>Happy</t>
        </is>
      </c>
      <c r="F28" s="23" t="inlineStr">
        <is>
          <t>Regression</t>
        </is>
      </c>
      <c r="G28" s="23" t="inlineStr">
        <is>
          <t>P2</t>
        </is>
      </c>
      <c r="H28" s="23" t="inlineStr">
        <is>
          <t>1. Maker đăng nhập dữ liệu nền hợp lệ.</t>
        </is>
      </c>
      <c r="I28" s="23" t="inlineStr">
        <is>
          <t>1. Chọn 1 biểu phí nguồn → 'Sao chép'
2. Kiểm tra dữ liệu sao chép, chỉnh sửa theo BR
3.
(Nếu áp dụng) 'Tải lên' DS code phí
4. Nhấn 'Xác nhận'</t>
        </is>
      </c>
      <c r="J28" s="23" t="inlineStr">
        <is>
          <t>(i) Nghiệp vụ/Logic: Thông tin được xử lý thành công và lưu trữ toàn vẹn dữ liệu.
(ii) UI: Thông báo 'Thao tác thành công'.
(iii) Trạng thái: 'Chờ duyệt' (Maker tạo mới).</t>
        </is>
      </c>
      <c r="K28" s="23" t="inlineStr">
        <is>
          <t>II.5.1.3.3.c</t>
        </is>
      </c>
      <c r="L28" s="23" t="inlineStr">
        <is>
          <t>BR_12</t>
        </is>
      </c>
      <c r="M28" s="23" t="inlineStr">
        <is>
          <t>BR_12-HAPPY</t>
        </is>
      </c>
      <c r="N28" s="23" t="n"/>
      <c r="O28" s="23" t="n"/>
      <c r="P28" s="23" t="n"/>
      <c r="Q28" s="23" t="n"/>
      <c r="R28" s="23" t="n"/>
      <c r="S28" s="23" t="n"/>
      <c r="T28" s="23" t="n"/>
      <c r="U28" s="23">
        <f>IF(R28&lt;&gt;"", R28, O28)</f>
        <v/>
      </c>
    </row>
    <row r="29" ht="15.75" customHeight="1" s="17">
      <c r="A29" s="23" t="inlineStr">
        <is>
          <t>PR03-br01-HAP-003</t>
        </is>
      </c>
      <c r="B29" s="23" t="inlineStr">
        <is>
          <t>PR03</t>
        </is>
      </c>
      <c r="C29" s="23" t="inlineStr">
        <is>
          <t>Danh mục biểu phí – II.5.1.3.4.c</t>
        </is>
      </c>
      <c r="D29" s="23" t="inlineStr">
        <is>
          <t>Kiểm tra thành công: Luồng Biểu phí mới phải khác hiện tại – Happy</t>
        </is>
      </c>
      <c r="E29" s="23" t="inlineStr">
        <is>
          <t>Happy</t>
        </is>
      </c>
      <c r="F29" s="23" t="inlineStr">
        <is>
          <t>Regression</t>
        </is>
      </c>
      <c r="G29" s="23" t="inlineStr">
        <is>
          <t>P2</t>
        </is>
      </c>
      <c r="H29" s="23" t="inlineStr">
        <is>
          <t>1. Maker đăng nhập dữ liệu nền hợp lệ.</t>
        </is>
      </c>
      <c r="I29" s="23" t="inlineStr">
        <is>
          <t>1. Mở biểu phí → 'Sửa' → tick code phí
2. 'Chuyển đổi Biểu phí'
3. Chọn biểu phí mới phù hợp
4. Nhấn 'Xác nhận'</t>
        </is>
      </c>
      <c r="J29" s="23" t="inlineStr">
        <is>
          <t>(i) Nghiệp vụ/Logic: Thông tin được xử lý thành công và lưu trữ toàn vẹn dữ liệu.
(ii) UI: Thông báo 'Thao tác thành công'.
(iii) Trạng thái: 'Chờ duyệt' (Maker tạo mới).</t>
        </is>
      </c>
      <c r="K29" s="23" t="inlineStr">
        <is>
          <t>II.5.1.3.4.c</t>
        </is>
      </c>
      <c r="L29" s="23" t="inlineStr">
        <is>
          <t>BR_01</t>
        </is>
      </c>
      <c r="M29" s="23" t="inlineStr">
        <is>
          <t>BR_01-HAPPY</t>
        </is>
      </c>
      <c r="N29" s="23" t="n"/>
      <c r="O29" s="23" t="n"/>
      <c r="P29" s="23" t="n"/>
      <c r="Q29" s="23" t="n"/>
      <c r="R29" s="23" t="n"/>
      <c r="S29" s="23" t="n"/>
      <c r="T29" s="23" t="n"/>
      <c r="U29" s="23">
        <f>IF(R29&lt;&gt;"", R29, O29)</f>
        <v/>
      </c>
    </row>
    <row r="30" ht="15.75" customHeight="1" s="17">
      <c r="A30" s="23" t="inlineStr">
        <is>
          <t>PR03-br02-HAP-003</t>
        </is>
      </c>
      <c r="B30" s="23" t="inlineStr">
        <is>
          <t>PR03</t>
        </is>
      </c>
      <c r="C30" s="23" t="inlineStr">
        <is>
          <t>Danh mục biểu phí – II.5.1.3.4.c</t>
        </is>
      </c>
      <c r="D30" s="23" t="inlineStr">
        <is>
          <t>Kiểm tra nút Đóng: Đảm bảo không lưu dữ liệu và thoát form</t>
        </is>
      </c>
      <c r="E30" s="23" t="inlineStr">
        <is>
          <t>Happy</t>
        </is>
      </c>
      <c r="F30" s="23" t="inlineStr">
        <is>
          <t>Regression</t>
        </is>
      </c>
      <c r="G30" s="23" t="inlineStr">
        <is>
          <t>P2</t>
        </is>
      </c>
      <c r="H30" s="23" t="inlineStr">
        <is>
          <t>1. Maker đăng nhập dữ liệu nền hợp lệ.</t>
        </is>
      </c>
      <c r="I30" s="23" t="inlineStr">
        <is>
          <t>1. Mở biểu phí → 'Sửa' → tick code phí
2. 'Chuyển đổi Biểu phí'
3. Chọn biểu phí mới phù hợp
4. Nhấn 'Xác nhận'</t>
        </is>
      </c>
      <c r="J30" s="23" t="inlineStr">
        <is>
          <t>(i) Nghiệp vụ/Logic: Hệ thống không lưu thông tin đã nhập.
(ii) UI: Đóng form quay về màn trước.
(iii) Trạng thái: Không tạo bản ghi chờ duyệt.</t>
        </is>
      </c>
      <c r="K30" s="23" t="inlineStr">
        <is>
          <t>II.5.1.3.4.c</t>
        </is>
      </c>
      <c r="L30" s="23" t="inlineStr">
        <is>
          <t>BR_02</t>
        </is>
      </c>
      <c r="M30" s="23" t="inlineStr">
        <is>
          <t>BR_02-HAPPY</t>
        </is>
      </c>
      <c r="N30" s="23" t="n"/>
      <c r="O30" s="23" t="n"/>
      <c r="P30" s="23" t="n"/>
      <c r="Q30" s="23" t="n"/>
      <c r="R30" s="23" t="n"/>
      <c r="S30" s="23" t="n"/>
      <c r="T30" s="23" t="n"/>
      <c r="U30" s="23">
        <f>IF(R30&lt;&gt;"", R30, O30)</f>
        <v/>
      </c>
    </row>
    <row r="31" ht="15.75" customHeight="1" s="17">
      <c r="A31" s="23" t="inlineStr">
        <is>
          <t>PR03-br03-HAP-003</t>
        </is>
      </c>
      <c r="B31" s="23" t="inlineStr">
        <is>
          <t>PR03</t>
        </is>
      </c>
      <c r="C31" s="23" t="inlineStr">
        <is>
          <t>Danh mục biểu phí – II.5.1.3.4.c</t>
        </is>
      </c>
      <c r="D31" s="23" t="inlineStr">
        <is>
          <t>Kiểm tra thành công: Luồng Biểu phí mới phải có SPDV phù hợp – Happy</t>
        </is>
      </c>
      <c r="E31" s="23" t="inlineStr">
        <is>
          <t>Happy</t>
        </is>
      </c>
      <c r="F31" s="23" t="inlineStr">
        <is>
          <t>Regression</t>
        </is>
      </c>
      <c r="G31" s="23" t="inlineStr">
        <is>
          <t>P2</t>
        </is>
      </c>
      <c r="H31" s="23" t="inlineStr">
        <is>
          <t>1. Maker đăng nhập dữ liệu nền hợp lệ.</t>
        </is>
      </c>
      <c r="I31" s="23" t="inlineStr">
        <is>
          <t>1. Mở biểu phí → 'Sửa' → tick code phí
2. 'Chuyển đổi Biểu phí'
3. Chọn biểu phí mới phù hợp
4. Nhấn 'Xác nhận'</t>
        </is>
      </c>
      <c r="J31" s="23" t="inlineStr">
        <is>
          <t>(i) Nghiệp vụ/Logic: Thông tin được xử lý thành công và lưu trữ toàn vẹn dữ liệu.
(ii) UI: Thông báo 'Thao tác thành công'.
(iii) Trạng thái: 'Chờ duyệt' (Maker tạo mới).</t>
        </is>
      </c>
      <c r="K31" s="23" t="inlineStr">
        <is>
          <t>II.5.1.3.4.c</t>
        </is>
      </c>
      <c r="L31" s="23" t="inlineStr">
        <is>
          <t>BR_03</t>
        </is>
      </c>
      <c r="M31" s="23" t="inlineStr">
        <is>
          <t>BR_03-HAPPY</t>
        </is>
      </c>
      <c r="N31" s="23" t="n"/>
      <c r="O31" s="23" t="n"/>
      <c r="P31" s="23" t="n"/>
      <c r="Q31" s="23" t="n"/>
      <c r="R31" s="23" t="n"/>
      <c r="S31" s="23" t="n"/>
      <c r="T31" s="23" t="n"/>
      <c r="U31" s="23">
        <f>IF(R31&lt;&gt;"", R31, O31)</f>
        <v/>
      </c>
    </row>
    <row r="32" ht="15.75" customHeight="1" s="17">
      <c r="A32" s="23" t="inlineStr">
        <is>
          <t>PR03-br04-HAP-003</t>
        </is>
      </c>
      <c r="B32" s="23" t="inlineStr">
        <is>
          <t>PR03</t>
        </is>
      </c>
      <c r="C32" s="23" t="inlineStr">
        <is>
          <t>Danh mục biểu phí – II.5.1.3.4.c</t>
        </is>
      </c>
      <c r="D32" s="23" t="inlineStr">
        <is>
          <t>Kiểm tra thành công: Luồng Chưa duyệt vẫn ở biểu phí cũ, chưa xuất hiện ở biểu phí mới – Happy</t>
        </is>
      </c>
      <c r="E32" s="23" t="inlineStr">
        <is>
          <t>Happy</t>
        </is>
      </c>
      <c r="F32" s="23" t="inlineStr">
        <is>
          <t>Regression</t>
        </is>
      </c>
      <c r="G32" s="23" t="inlineStr">
        <is>
          <t>P2</t>
        </is>
      </c>
      <c r="H32" s="23" t="inlineStr">
        <is>
          <t>1. Maker đăng nhập dữ liệu nền hợp lệ.</t>
        </is>
      </c>
      <c r="I32" s="23" t="inlineStr">
        <is>
          <t>1. Mở biểu phí → 'Sửa' → tick code phí
2. 'Chuyển đổi Biểu phí'
3. Chọn biểu phí mới phù hợp
4. Nhấn 'Xác nhận'</t>
        </is>
      </c>
      <c r="J32" s="23" t="inlineStr">
        <is>
          <t>(i) Nghiệp vụ/Logic: Thông tin được xử lý thành công và lưu trữ toàn vẹn dữ liệu.
(ii) UI: Thông báo 'Thao tác thành công'.
(iii) Trạng thái: 'Chờ duyệt' (Maker tạo mới).</t>
        </is>
      </c>
      <c r="K32" s="23" t="inlineStr">
        <is>
          <t>II.5.1.3.4.c</t>
        </is>
      </c>
      <c r="L32" s="23" t="inlineStr">
        <is>
          <t>BR_04</t>
        </is>
      </c>
      <c r="M32" s="23" t="inlineStr">
        <is>
          <t>BR_04-HAPPY</t>
        </is>
      </c>
      <c r="N32" s="23" t="n"/>
      <c r="O32" s="23" t="n"/>
      <c r="P32" s="23" t="n"/>
      <c r="Q32" s="23" t="n"/>
      <c r="R32" s="23" t="n"/>
      <c r="S32" s="23" t="n"/>
      <c r="T32" s="23" t="n"/>
      <c r="U32" s="23">
        <f>IF(R32&lt;&gt;"", R32, O32)</f>
        <v/>
      </c>
    </row>
    <row r="33" ht="15.75" customHeight="1" s="17">
      <c r="A33" s="23" t="inlineStr">
        <is>
          <t>PR03-br05-HAP-003</t>
        </is>
      </c>
      <c r="B33" s="23" t="inlineStr">
        <is>
          <t>PR03</t>
        </is>
      </c>
      <c r="C33" s="23" t="inlineStr">
        <is>
          <t>Danh mục biểu phí – II.5.1.3.4.c</t>
        </is>
      </c>
      <c r="D33" s="23" t="inlineStr">
        <is>
          <t>Kiểm tra thành công: Luồng tạo yêu cầu ở trạng thái Chờ duyệt; xuất hiện ở Tác vụ chờ duyệt – Happy</t>
        </is>
      </c>
      <c r="E33" s="23" t="inlineStr">
        <is>
          <t>Happy</t>
        </is>
      </c>
      <c r="F33" s="23" t="inlineStr">
        <is>
          <t>Regression</t>
        </is>
      </c>
      <c r="G33" s="23" t="inlineStr">
        <is>
          <t>P2</t>
        </is>
      </c>
      <c r="H33" s="23" t="inlineStr">
        <is>
          <t>1. Maker đăng nhập dữ liệu nền hợp lệ.</t>
        </is>
      </c>
      <c r="I33" s="23" t="inlineStr">
        <is>
          <t>1. Mở biểu phí → 'Sửa' → tick code phí
2. 'Chuyển đổi Biểu phí'
3. Chọn biểu phí mới phù hợp
4. Nhấn 'Xác nhận'</t>
        </is>
      </c>
      <c r="J33" s="23" t="inlineStr">
        <is>
          <t>(i) Nghiệp vụ/Logic: Thông tin được xử lý thành công và lưu trữ toàn vẹn dữ liệu.
(ii) UI: Thông báo 'Thao tác thành công'.
(iii) Trạng thái: 'Chờ duyệt' (Maker tạo mới).</t>
        </is>
      </c>
      <c r="K33" s="23" t="inlineStr">
        <is>
          <t>II.5.1.3.4.c</t>
        </is>
      </c>
      <c r="L33" s="23" t="inlineStr">
        <is>
          <t>BR_05</t>
        </is>
      </c>
      <c r="M33" s="23" t="inlineStr">
        <is>
          <t>BR_05-HAPPY</t>
        </is>
      </c>
      <c r="N33" s="23" t="n"/>
      <c r="O33" s="23" t="n"/>
      <c r="P33" s="23" t="n"/>
      <c r="Q33" s="23" t="n"/>
      <c r="R33" s="23" t="n"/>
      <c r="S33" s="23" t="n"/>
      <c r="T33" s="23" t="n"/>
      <c r="U33" s="23">
        <f>IF(R33&lt;&gt;"", R33, O33)</f>
        <v/>
      </c>
    </row>
    <row r="34" ht="15.75" customHeight="1" s="17">
      <c r="A34" s="23" t="inlineStr">
        <is>
          <t>PR03-br05-EXT-004</t>
        </is>
      </c>
      <c r="B34" s="23" t="inlineStr">
        <is>
          <t>PR03</t>
        </is>
      </c>
      <c r="C34" s="23" t="inlineStr">
        <is>
          <t>Danh mục biểu phí – II.5.1.3.2.c</t>
        </is>
      </c>
      <c r="D34" s="23" t="inlineStr">
        <is>
          <t>Kiểm tra lỗi: Chặn và báo lỗi khi BR_05 – Tên/Mã biểu phí trùng</t>
        </is>
      </c>
      <c r="E34" s="23" t="inlineStr">
        <is>
          <t>Negative</t>
        </is>
      </c>
      <c r="F34" s="23" t="inlineStr">
        <is>
          <t>Regression</t>
        </is>
      </c>
      <c r="G34" s="23" t="inlineStr">
        <is>
          <t>P1</t>
        </is>
      </c>
      <c r="H34" s="23" t="inlineStr">
        <is>
          <t>1. Maker đăng nhập dữ liệu nền hợp lệ.</t>
        </is>
      </c>
      <c r="I34" s="23" t="inlineStr">
        <is>
          <t>1. Mở 'Danh mục biểu phí' → 'Thêm mới'
2. Nhập Tên/Mã trùng với bản ghi đã tồn tại
3. Hoàn thiện trường còn lại
4. Nhấn 'Xác nhận'</t>
        </is>
      </c>
      <c r="J34"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4" s="23" t="inlineStr">
        <is>
          <t>II.5.1.3.2.c</t>
        </is>
      </c>
      <c r="L34" s="23" t="inlineStr">
        <is>
          <t>BR_05</t>
        </is>
      </c>
      <c r="M34" s="23" t="inlineStr">
        <is>
          <t>BR_05-EXT</t>
        </is>
      </c>
      <c r="N34" s="23" t="n"/>
      <c r="O34" s="23" t="n"/>
      <c r="P34" s="23" t="n"/>
      <c r="Q34" s="23" t="n"/>
      <c r="R34" s="23" t="n"/>
      <c r="S34" s="23" t="n"/>
      <c r="T34" s="23" t="n"/>
      <c r="U34" s="23">
        <f>IF(R34&lt;&gt;"", R34, O34)</f>
        <v/>
      </c>
    </row>
    <row r="35" ht="15.75" customHeight="1" s="17">
      <c r="A35" s="23" t="inlineStr">
        <is>
          <t>PR03-br06-EXT-003</t>
        </is>
      </c>
      <c r="B35" s="23" t="inlineStr">
        <is>
          <t>PR03</t>
        </is>
      </c>
      <c r="C35" s="23" t="inlineStr">
        <is>
          <t>Danh mục biểu phí – II.5.1.3.2.c</t>
        </is>
      </c>
      <c r="D35" s="23" t="inlineStr">
        <is>
          <t>Kiểm tra lỗi: Chặn và báo lỗi khi BR_06 – File upload không phải .xlsx</t>
        </is>
      </c>
      <c r="E35" s="23" t="inlineStr">
        <is>
          <t>Negative</t>
        </is>
      </c>
      <c r="F35" s="23" t="inlineStr">
        <is>
          <t>Regression</t>
        </is>
      </c>
      <c r="G35" s="23" t="inlineStr">
        <is>
          <t>P2</t>
        </is>
      </c>
      <c r="H35" s="23" t="inlineStr">
        <is>
          <t>1. Maker đăng nhập dữ liệu nền hợp lệ.</t>
        </is>
      </c>
      <c r="I35" s="23" t="inlineStr">
        <is>
          <t>1. Mở 'Thêm mới'
2. 'Tải lên' → chọn file .csv/.xls
3. Nhấn 'Xác nhận'
4. Quan sát thông báo định dạng</t>
        </is>
      </c>
      <c r="J35"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5" s="23" t="inlineStr">
        <is>
          <t>II.5.1.3.2.c</t>
        </is>
      </c>
      <c r="L35" s="23" t="inlineStr">
        <is>
          <t>BR_06</t>
        </is>
      </c>
      <c r="M35" s="23" t="inlineStr">
        <is>
          <t>BR_06-EXT</t>
        </is>
      </c>
      <c r="N35" s="23" t="n"/>
      <c r="O35" s="23" t="n"/>
      <c r="P35" s="23" t="n"/>
      <c r="Q35" s="23" t="n"/>
      <c r="R35" s="23" t="n"/>
      <c r="S35" s="23" t="n"/>
      <c r="T35" s="23" t="n"/>
      <c r="U35" s="23">
        <f>IF(R35&lt;&gt;"", R35, O35)</f>
        <v/>
      </c>
    </row>
    <row r="36" ht="15.75" customHeight="1" s="17">
      <c r="A36" s="23" t="inlineStr">
        <is>
          <t>PR03-br07-EXT-003</t>
        </is>
      </c>
      <c r="B36" s="23" t="inlineStr">
        <is>
          <t>PR03</t>
        </is>
      </c>
      <c r="C36" s="23" t="inlineStr">
        <is>
          <t>Danh mục biểu phí – II.5.1.3.2.c</t>
        </is>
      </c>
      <c r="D36" s="23" t="inlineStr">
        <is>
          <t>Kiểm tra biên: Xác minh giới hạn của BR_07 – Upload có 3a/3b/3c lỗi/hợp lệ</t>
        </is>
      </c>
      <c r="E36" s="23" t="inlineStr">
        <is>
          <t>Boundary</t>
        </is>
      </c>
      <c r="F36" s="23" t="inlineStr">
        <is>
          <t>Regression</t>
        </is>
      </c>
      <c r="G36" s="23" t="inlineStr">
        <is>
          <t>P1</t>
        </is>
      </c>
      <c r="H36" s="23" t="inlineStr">
        <is>
          <t>1. Maker đăng nhập dữ liệu nền hợp lệ.</t>
        </is>
      </c>
      <c r="I36" s="23" t="inlineStr">
        <is>
          <t>1. Mở 'Thêm mới'
2. 'Tải lên' file .xlsx có 3a hợp lệ, 3b thiếu bắt buộc, 3c code không tồn tại
3. Nhấn 'Xác nhận'
4. Quan sát bảng kết quả upload</t>
        </is>
      </c>
      <c r="J36" s="23" t="inlineStr">
        <is>
          <t>(i) Nghiệp vụ/Logic: Hệ thống xử lý đúng quy định tại giá trị biên (Min/Max/Limit).
(ii) UI: Hiển thị thông báo hoặc trạng thái tương ứng.
(iii) Trạng thái: Lưu hoặc Chặn tùy quy định.
[v0.9-UPD] Hệ thống kiểm tra: Code phí trạng thái = 'Chưa gắn' hoặc 'Ngừng hoạt động' VÀ chưa thuộc Biểu phí nào đang 'Có hiệu lực'. Nếu không thỏa → báo lỗi từng dòng, chặn lưu.</t>
        </is>
      </c>
      <c r="K36" s="23" t="inlineStr">
        <is>
          <t>II.5.1.3.2.c</t>
        </is>
      </c>
      <c r="L36" s="23" t="inlineStr">
        <is>
          <t>BR_07</t>
        </is>
      </c>
      <c r="M36" s="23" t="inlineStr">
        <is>
          <t>BR_07-EXT</t>
        </is>
      </c>
      <c r="N36" s="23" t="inlineStr">
        <is>
          <t>[v0.9-UPD] BR_07/08 rule mới về trạng thái code phí import</t>
        </is>
      </c>
      <c r="O36" s="23" t="n"/>
      <c r="P36" s="23" t="n"/>
      <c r="Q36" s="23" t="n"/>
      <c r="R36" s="23" t="n"/>
      <c r="S36" s="23" t="n"/>
      <c r="T36" s="23" t="n"/>
      <c r="U36" s="23">
        <f>IF(R36&lt;&gt;"", R36, O36)</f>
        <v/>
      </c>
    </row>
    <row r="37" ht="15.75" customHeight="1" s="17">
      <c r="A37" s="23" t="inlineStr">
        <is>
          <t>PR03-br02-EXT-004</t>
        </is>
      </c>
      <c r="B37" s="23" t="inlineStr">
        <is>
          <t>PR03</t>
        </is>
      </c>
      <c r="C37" s="23" t="inlineStr">
        <is>
          <t>Danh mục biểu phí – II.5.1.3.2.c</t>
        </is>
      </c>
      <c r="D37" s="23" t="inlineStr">
        <is>
          <t>Kiểm tra lỗi: Chặn và báo lỗi khi BR_02 – Ngày sai định dạng</t>
        </is>
      </c>
      <c r="E37" s="23" t="inlineStr">
        <is>
          <t>Negative</t>
        </is>
      </c>
      <c r="F37" s="23" t="inlineStr">
        <is>
          <t>Regression</t>
        </is>
      </c>
      <c r="G37" s="23" t="inlineStr">
        <is>
          <t>P2</t>
        </is>
      </c>
      <c r="H37" s="23" t="inlineStr">
        <is>
          <t>1. Maker đăng nhập dữ liệu nền hợp lệ.</t>
        </is>
      </c>
      <c r="I37" s="23" t="inlineStr">
        <is>
          <t>1. Mở 'Thêm mới'
2. Nhập ngày theo định dạng sai
(31-12-2026/2026/12/
31)
3. Nhấn 'Xác nhận'
4. Quan sát lỗi tại trường ngày</t>
        </is>
      </c>
      <c r="J37"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7" s="23" t="inlineStr">
        <is>
          <t>II.5.1.3.2.c</t>
        </is>
      </c>
      <c r="L37" s="23" t="inlineStr">
        <is>
          <t>BR_02</t>
        </is>
      </c>
      <c r="M37" s="23" t="inlineStr">
        <is>
          <t>BR_02-EXT</t>
        </is>
      </c>
      <c r="N37" s="23" t="n"/>
      <c r="O37" s="23" t="n"/>
      <c r="P37" s="23" t="n"/>
      <c r="Q37" s="23" t="n"/>
      <c r="R37" s="23" t="n"/>
      <c r="S37" s="23" t="n"/>
      <c r="T37" s="23" t="n"/>
      <c r="U37" s="23">
        <f>IF(R37&lt;&gt;"", R37, O37)</f>
        <v/>
      </c>
    </row>
    <row r="38" ht="15.75" customHeight="1" s="17">
      <c r="A38" s="23" t="inlineStr">
        <is>
          <t>PR03-UI-01-001</t>
        </is>
      </c>
      <c r="B38" s="23" t="inlineStr">
        <is>
          <t>PR03</t>
        </is>
      </c>
      <c r="C38" s="23" t="inlineStr">
        <is>
          <t>UI – Thêm mới biểu phí</t>
        </is>
      </c>
      <c r="D38" s="23" t="inlineStr">
        <is>
          <t>Kiểm tra thành công: Luồng Thêm mới biểu phí – mở form/điều hướng – Happy</t>
        </is>
      </c>
      <c r="E38" s="23" t="inlineStr">
        <is>
          <t>Happy</t>
        </is>
      </c>
      <c r="F38" s="23" t="inlineStr">
        <is>
          <t>Smoke</t>
        </is>
      </c>
      <c r="G38" s="23" t="inlineStr">
        <is>
          <t>P2</t>
        </is>
      </c>
      <c r="H38" s="23" t="inlineStr">
        <is>
          <t>1. Maker đăng nhập dữ liệu nền tối thiểu.</t>
        </is>
      </c>
      <c r="I38" s="23" t="inlineStr">
        <is>
          <t>1. Mở PR.03 từ menu
2. Nhấn nút 'Thêm mới'
3. Quan sát form/popup hiển thị đầy đủ</t>
        </is>
      </c>
      <c r="J38" s="23" t="inlineStr">
        <is>
          <t>(i) Nghiệp vụ/Logic: Thông tin được xử lý thành công và lưu trữ toàn vẹn dữ liệu.
(ii) UI: Thông báo 'Thao tác thành công'.
(iii) Trạng thái: 'Chờ duyệt' (Maker tạo mới).</t>
        </is>
      </c>
      <c r="K38" s="23" t="inlineStr">
        <is>
          <t>II.5.1.3.1</t>
        </is>
      </c>
      <c r="L38" s="23" t="inlineStr">
        <is>
          <t>UI-FUNC.01</t>
        </is>
      </c>
      <c r="M38" s="23" t="inlineStr">
        <is>
          <t>UI-FUNC.01-001</t>
        </is>
      </c>
      <c r="N38" s="23" t="n"/>
      <c r="O38" s="23" t="n"/>
      <c r="P38" s="23" t="n"/>
      <c r="Q38" s="23" t="n"/>
      <c r="R38" s="23" t="n"/>
      <c r="S38" s="23" t="n"/>
      <c r="T38" s="23" t="n"/>
      <c r="U38" s="23">
        <f>IF(R38&lt;&gt;"", R38, O38)</f>
        <v/>
      </c>
    </row>
    <row r="39" ht="15.75" customHeight="1" s="17">
      <c r="A39" s="23" t="inlineStr">
        <is>
          <t>PR03-UI-01-002</t>
        </is>
      </c>
      <c r="B39" s="23" t="inlineStr">
        <is>
          <t>PR03</t>
        </is>
      </c>
      <c r="C39" s="23" t="inlineStr">
        <is>
          <t>UI – Thêm mới biểu phí</t>
        </is>
      </c>
      <c r="D39" s="23" t="inlineStr">
        <is>
          <t>Kiểm tra nút Đóng: Đảm bảo không lưu dữ liệu và thoát form</t>
        </is>
      </c>
      <c r="E39" s="23" t="inlineStr">
        <is>
          <t>Negative</t>
        </is>
      </c>
      <c r="F39" s="23" t="inlineStr">
        <is>
          <t>Regression</t>
        </is>
      </c>
      <c r="G39" s="23" t="inlineStr">
        <is>
          <t>P3</t>
        </is>
      </c>
      <c r="H39" s="23" t="inlineStr">
        <is>
          <t>1. Maker đăng nhập dữ liệu nền tối thiểu.</t>
        </is>
      </c>
      <c r="I39" s="23" t="inlineStr">
        <is>
          <t>1. Mở form chức năng
2. Nhập vài trường
3. Nhấn 'Đóng/Huỷ' và xác nhận (nếu có)</t>
        </is>
      </c>
      <c r="J39" s="23" t="inlineStr">
        <is>
          <t>(i) Nghiệp vụ/Logic: Hệ thống không lưu thông tin đã nhập.
(ii) UI: Đóng form quay về màn trước.
(iii) Trạng thái: Không tạo bản ghi chờ duyệt.</t>
        </is>
      </c>
      <c r="K39" s="23" t="inlineStr">
        <is>
          <t>II.5.1.3.1</t>
        </is>
      </c>
      <c r="L39" s="23" t="inlineStr">
        <is>
          <t>UI-FUNC.01</t>
        </is>
      </c>
      <c r="M39" s="23" t="inlineStr">
        <is>
          <t>UI-FUNC.01-002</t>
        </is>
      </c>
      <c r="N39" s="23" t="n"/>
      <c r="O39" s="23" t="n"/>
      <c r="P39" s="23" t="n"/>
      <c r="Q39" s="23" t="n"/>
      <c r="R39" s="23" t="n"/>
      <c r="S39" s="23" t="n"/>
      <c r="T39" s="23" t="n"/>
      <c r="U39" s="23">
        <f>IF(R39&lt;&gt;"", R39, O39)</f>
        <v/>
      </c>
    </row>
    <row r="40" ht="15.75" customHeight="1" s="17">
      <c r="A40" s="23" t="inlineStr">
        <is>
          <t>PR03-UI-01-003</t>
        </is>
      </c>
      <c r="B40" s="23" t="inlineStr">
        <is>
          <t>PR03</t>
        </is>
      </c>
      <c r="C40" s="23" t="inlineStr">
        <is>
          <t>UI – Thêm mới biểu phí</t>
        </is>
      </c>
      <c r="D40" s="23" t="inlineStr">
        <is>
          <t>Kiểm tra biên: Xác minh giới hạn của Thêm mới biểu phí – trạng thái nút/toolbar/pagination – Boundary</t>
        </is>
      </c>
      <c r="E40" s="23" t="inlineStr">
        <is>
          <t>Boundary</t>
        </is>
      </c>
      <c r="F40" s="23" t="inlineStr">
        <is>
          <t>Regression</t>
        </is>
      </c>
      <c r="G40" s="23" t="inlineStr">
        <is>
          <t>P3</t>
        </is>
      </c>
      <c r="H40" s="23" t="inlineStr">
        <is>
          <t>1. Maker đăng nhập dữ liệu nền tối thiểu.</t>
        </is>
      </c>
      <c r="I40" s="23" t="inlineStr">
        <is>
          <t>1. Mở danh sách
2. Đổi page size 10→20→50 &amp; Next/Prev
3. Hover tooltip các nút
4. Tick/untick dòng để kiểm tra enable/disable nút</t>
        </is>
      </c>
      <c r="J40" s="23" t="inlineStr">
        <is>
          <t>(i) Nghiệp vụ/Logic: Hệ thống xử lý đúng quy định tại giá trị biên (Min/Max/Limit).
(ii) UI: Hiển thị thông báo hoặc trạng thái tương ứng.
(iii) Trạng thái: Lưu hoặc Chặn tùy quy định.</t>
        </is>
      </c>
      <c r="K40" s="23" t="inlineStr">
        <is>
          <t>II.5.1.3.1</t>
        </is>
      </c>
      <c r="L40" s="23" t="inlineStr">
        <is>
          <t>UI-FUNC.01</t>
        </is>
      </c>
      <c r="M40" s="23" t="inlineStr">
        <is>
          <t>UI-FUNC.01-003</t>
        </is>
      </c>
      <c r="N40" s="23" t="n"/>
      <c r="O40" s="23" t="n"/>
      <c r="P40" s="23" t="n"/>
      <c r="Q40" s="23" t="n"/>
      <c r="R40" s="23" t="n"/>
      <c r="S40" s="23" t="n"/>
      <c r="T40" s="23" t="n"/>
      <c r="U40" s="23">
        <f>IF(R40&lt;&gt;"", R40, O40)</f>
        <v/>
      </c>
    </row>
    <row r="41" ht="15.75" customHeight="1" s="17">
      <c r="A41" s="23" t="inlineStr">
        <is>
          <t>PR03-UI-02-001</t>
        </is>
      </c>
      <c r="B41" s="23" t="inlineStr">
        <is>
          <t>PR03</t>
        </is>
      </c>
      <c r="C41" s="23" t="inlineStr">
        <is>
          <t>UI – Tải lên danh sách code phí</t>
        </is>
      </c>
      <c r="D41" s="23" t="inlineStr">
        <is>
          <t>Kiểm tra thành công: Luồng Tải lên danh sách code phí – mở form/điều hướng – Happy</t>
        </is>
      </c>
      <c r="E41" s="23" t="inlineStr">
        <is>
          <t>Happy</t>
        </is>
      </c>
      <c r="F41" s="23" t="inlineStr">
        <is>
          <t>Smoke</t>
        </is>
      </c>
      <c r="G41" s="23" t="inlineStr">
        <is>
          <t>P2</t>
        </is>
      </c>
      <c r="H41" s="23" t="inlineStr">
        <is>
          <t>1. Maker đăng nhập dữ liệu nền tối thiểu.</t>
        </is>
      </c>
      <c r="I41" s="23" t="inlineStr">
        <is>
          <t>1. Mở PR.03 từ menu
2. Nhấn nút 'Tải lên'
3. Quan sát form/popup hiển thị đầy đủ</t>
        </is>
      </c>
      <c r="J41" s="23" t="inlineStr">
        <is>
          <t>(i) Nghiệp vụ/Logic: Thông tin được xử lý thành công và lưu trữ toàn vẹn dữ liệu.
(ii) UI: Thông báo 'Thao tác thành công'.
(iii) Trạng thái: 'Chờ duyệt' (Maker tạo mới).</t>
        </is>
      </c>
      <c r="K41" s="23" t="inlineStr">
        <is>
          <t>II.5.1.3.1</t>
        </is>
      </c>
      <c r="L41" s="23" t="inlineStr">
        <is>
          <t>UI-FUNC.02</t>
        </is>
      </c>
      <c r="M41" s="23" t="inlineStr">
        <is>
          <t>UI-FUNC.02-001</t>
        </is>
      </c>
      <c r="N41" s="23" t="n"/>
      <c r="O41" s="23" t="n"/>
      <c r="P41" s="23" t="n"/>
      <c r="Q41" s="23" t="n"/>
      <c r="R41" s="23" t="n"/>
      <c r="S41" s="23" t="n"/>
      <c r="T41" s="23" t="n"/>
      <c r="U41" s="23">
        <f>IF(R41&lt;&gt;"", R41, O41)</f>
        <v/>
      </c>
    </row>
    <row r="42" ht="15.75" customHeight="1" s="17">
      <c r="A42" s="23" t="inlineStr">
        <is>
          <t>PR03-UI-02-002</t>
        </is>
      </c>
      <c r="B42" s="23" t="inlineStr">
        <is>
          <t>PR03</t>
        </is>
      </c>
      <c r="C42" s="23" t="inlineStr">
        <is>
          <t>UI – Tải lên danh sách code phí</t>
        </is>
      </c>
      <c r="D42" s="23" t="inlineStr">
        <is>
          <t>Kiểm tra nút Đóng: Đảm bảo không lưu dữ liệu và thoát form</t>
        </is>
      </c>
      <c r="E42" s="23" t="inlineStr">
        <is>
          <t>Negative</t>
        </is>
      </c>
      <c r="F42" s="23" t="inlineStr">
        <is>
          <t>Regression</t>
        </is>
      </c>
      <c r="G42" s="23" t="inlineStr">
        <is>
          <t>P3</t>
        </is>
      </c>
      <c r="H42" s="23" t="inlineStr">
        <is>
          <t>1. Maker đăng nhập dữ liệu nền tối thiểu.</t>
        </is>
      </c>
      <c r="I42" s="23" t="inlineStr">
        <is>
          <t>1. Mở form chức năng
2. Nhập vài trường
3. Nhấn 'Đóng/Huỷ' và xác nhận (nếu có)</t>
        </is>
      </c>
      <c r="J42" s="23" t="inlineStr">
        <is>
          <t>(i) Nghiệp vụ/Logic: Hệ thống không lưu thông tin đã nhập.
(ii) UI: Đóng form quay về màn trước.
(iii) Trạng thái: Không tạo bản ghi chờ duyệt.</t>
        </is>
      </c>
      <c r="K42" s="23" t="inlineStr">
        <is>
          <t>II.5.1.3.1</t>
        </is>
      </c>
      <c r="L42" s="23" t="inlineStr">
        <is>
          <t>UI-FUNC.02</t>
        </is>
      </c>
      <c r="M42" s="23" t="inlineStr">
        <is>
          <t>UI-FUNC.02-002</t>
        </is>
      </c>
      <c r="N42" s="23" t="n"/>
      <c r="O42" s="23" t="n"/>
      <c r="P42" s="23" t="n"/>
      <c r="Q42" s="23" t="n"/>
      <c r="R42" s="23" t="n"/>
      <c r="S42" s="23" t="n"/>
      <c r="T42" s="23" t="n"/>
      <c r="U42" s="23">
        <f>IF(R42&lt;&gt;"", R42, O42)</f>
        <v/>
      </c>
    </row>
    <row r="43" ht="15.75" customHeight="1" s="17">
      <c r="A43" s="23" t="inlineStr">
        <is>
          <t>PR03-UI-02-003</t>
        </is>
      </c>
      <c r="B43" s="23" t="inlineStr">
        <is>
          <t>PR03</t>
        </is>
      </c>
      <c r="C43" s="23" t="inlineStr">
        <is>
          <t>UI – Tải lên danh sách code phí</t>
        </is>
      </c>
      <c r="D43" s="23" t="inlineStr">
        <is>
          <t>Kiểm tra biên: Xác minh giới hạn của Tải lên danh sách code phí – trạng thái nút/toolbar/pagination – Boundary</t>
        </is>
      </c>
      <c r="E43" s="23" t="inlineStr">
        <is>
          <t>Boundary</t>
        </is>
      </c>
      <c r="F43" s="23" t="inlineStr">
        <is>
          <t>Regression</t>
        </is>
      </c>
      <c r="G43" s="23" t="inlineStr">
        <is>
          <t>P3</t>
        </is>
      </c>
      <c r="H43" s="23" t="inlineStr">
        <is>
          <t>1. Maker đăng nhập dữ liệu nền tối thiểu.</t>
        </is>
      </c>
      <c r="I43" s="23" t="inlineStr">
        <is>
          <t>1. Mở danh sách
2. Đổi page size 10→20→50 &amp; Next/Prev
3. Hover tooltip các nút
4. Tick/untick dòng để kiểm tra enable/disable nút</t>
        </is>
      </c>
      <c r="J43" s="23" t="inlineStr">
        <is>
          <t>(i) Nghiệp vụ/Logic: Hệ thống xử lý đúng quy định tại giá trị biên (Min/Max/Limit).
(ii) UI: Hiển thị thông báo hoặc trạng thái tương ứng.
(iii) Trạng thái: Lưu hoặc Chặn tùy quy định.</t>
        </is>
      </c>
      <c r="K43" s="23" t="inlineStr">
        <is>
          <t>II.5.1.3.1</t>
        </is>
      </c>
      <c r="L43" s="23" t="inlineStr">
        <is>
          <t>UI-FUNC.02</t>
        </is>
      </c>
      <c r="M43" s="23" t="inlineStr">
        <is>
          <t>UI-FUNC.02-003</t>
        </is>
      </c>
      <c r="N43" s="23" t="n"/>
      <c r="O43" s="23" t="n"/>
      <c r="P43" s="23" t="n"/>
      <c r="Q43" s="23" t="n"/>
      <c r="R43" s="23" t="n"/>
      <c r="S43" s="23" t="n"/>
      <c r="T43" s="23" t="n"/>
      <c r="U43" s="23">
        <f>IF(R43&lt;&gt;"", R43, O43)</f>
        <v/>
      </c>
    </row>
    <row r="44" ht="15.75" customHeight="1" s="17">
      <c r="A44" s="23" t="inlineStr">
        <is>
          <t>PR03-UI-03-001</t>
        </is>
      </c>
      <c r="B44" s="23" t="inlineStr">
        <is>
          <t>PR03</t>
        </is>
      </c>
      <c r="C44" s="23" t="inlineStr">
        <is>
          <t>UI – Sửa</t>
        </is>
      </c>
      <c r="D44" s="23" t="inlineStr">
        <is>
          <t>Kiểm tra thành công: Luồng Sửa – mở form/điều hướng – Happy</t>
        </is>
      </c>
      <c r="E44" s="23" t="inlineStr">
        <is>
          <t>Happy</t>
        </is>
      </c>
      <c r="F44" s="23" t="inlineStr">
        <is>
          <t>Smoke</t>
        </is>
      </c>
      <c r="G44" s="23" t="inlineStr">
        <is>
          <t>P2</t>
        </is>
      </c>
      <c r="H44" s="23" t="inlineStr">
        <is>
          <t>1. Maker đăng nhập dữ liệu nền tối thiểu.</t>
        </is>
      </c>
      <c r="I44" s="23" t="inlineStr">
        <is>
          <t>1. Mở PR.03 từ menu
2. Nhấn nút 'Sửa'
3. Quan sát form/popup hiển thị đầy đủ</t>
        </is>
      </c>
      <c r="J44" s="23" t="inlineStr">
        <is>
          <t>(i) Nghiệp vụ/Logic: Thông tin được xử lý thành công và lưu trữ toàn vẹn dữ liệu.
(ii) UI: Thông báo 'Thao tác thành công'.
(iii) Trạng thái: 'Chờ duyệt' (Maker tạo mới).</t>
        </is>
      </c>
      <c r="K44" s="23" t="inlineStr">
        <is>
          <t>II.5.1.3.1</t>
        </is>
      </c>
      <c r="L44" s="23" t="inlineStr">
        <is>
          <t>UI-FUNC.03</t>
        </is>
      </c>
      <c r="M44" s="23" t="inlineStr">
        <is>
          <t>UI-FUNC.03-001</t>
        </is>
      </c>
      <c r="N44" s="23" t="n"/>
      <c r="O44" s="23" t="n"/>
      <c r="P44" s="23" t="n"/>
      <c r="Q44" s="23" t="n"/>
      <c r="R44" s="23" t="n"/>
      <c r="S44" s="23" t="n"/>
      <c r="T44" s="23" t="n"/>
      <c r="U44" s="23">
        <f>IF(R44&lt;&gt;"", R44, O44)</f>
        <v/>
      </c>
    </row>
    <row r="45" ht="15.75" customHeight="1" s="17">
      <c r="A45" s="23" t="inlineStr">
        <is>
          <t>PR03-UI-03-002</t>
        </is>
      </c>
      <c r="B45" s="23" t="inlineStr">
        <is>
          <t>PR03</t>
        </is>
      </c>
      <c r="C45" s="23" t="inlineStr">
        <is>
          <t>UI – Sửa</t>
        </is>
      </c>
      <c r="D45" s="23" t="inlineStr">
        <is>
          <t>Kiểm tra nút Đóng: Đảm bảo không lưu dữ liệu và thoát form</t>
        </is>
      </c>
      <c r="E45" s="23" t="inlineStr">
        <is>
          <t>Negative</t>
        </is>
      </c>
      <c r="F45" s="23" t="inlineStr">
        <is>
          <t>Regression</t>
        </is>
      </c>
      <c r="G45" s="23" t="inlineStr">
        <is>
          <t>P3</t>
        </is>
      </c>
      <c r="H45" s="23" t="inlineStr">
        <is>
          <t>1. Maker đăng nhập dữ liệu nền tối thiểu.</t>
        </is>
      </c>
      <c r="I45" s="23" t="inlineStr">
        <is>
          <t>1. Mở form chức năng
2. Nhập vài trường
3. Nhấn 'Đóng/Huỷ' và xác nhận (nếu có)</t>
        </is>
      </c>
      <c r="J45" s="23" t="inlineStr">
        <is>
          <t>(i) Nghiệp vụ/Logic: Hệ thống không lưu thông tin đã nhập.
(ii) UI: Đóng form quay về màn trước.
(iii) Trạng thái: Không tạo bản ghi chờ duyệt.</t>
        </is>
      </c>
      <c r="K45" s="23" t="inlineStr">
        <is>
          <t>II.5.1.3.1</t>
        </is>
      </c>
      <c r="L45" s="23" t="inlineStr">
        <is>
          <t>UI-FUNC.03</t>
        </is>
      </c>
      <c r="M45" s="23" t="inlineStr">
        <is>
          <t>UI-FUNC.03-002</t>
        </is>
      </c>
      <c r="N45" s="23" t="n"/>
      <c r="O45" s="23" t="n"/>
      <c r="P45" s="23" t="n"/>
      <c r="Q45" s="23" t="n"/>
      <c r="R45" s="23" t="n"/>
      <c r="S45" s="23" t="n"/>
      <c r="T45" s="23" t="n"/>
      <c r="U45" s="23">
        <f>IF(R45&lt;&gt;"", R45, O45)</f>
        <v/>
      </c>
    </row>
    <row r="46" ht="15.75" customHeight="1" s="17">
      <c r="A46" s="23" t="inlineStr">
        <is>
          <t>PR03-UI-04-001</t>
        </is>
      </c>
      <c r="B46" s="23" t="inlineStr">
        <is>
          <t>PR03</t>
        </is>
      </c>
      <c r="C46" s="23" t="inlineStr">
        <is>
          <t>UI – Sao chép</t>
        </is>
      </c>
      <c r="D46" s="23" t="inlineStr">
        <is>
          <t>Kiểm tra thành công: Luồng Sao chép – mở form/điều hướng – Happy</t>
        </is>
      </c>
      <c r="E46" s="23" t="inlineStr">
        <is>
          <t>Happy</t>
        </is>
      </c>
      <c r="F46" s="23" t="inlineStr">
        <is>
          <t>Smoke</t>
        </is>
      </c>
      <c r="G46" s="23" t="inlineStr">
        <is>
          <t>P2</t>
        </is>
      </c>
      <c r="H46" s="23" t="inlineStr">
        <is>
          <t>1. Maker đăng nhập dữ liệu nền tối thiểu.</t>
        </is>
      </c>
      <c r="I46" s="23" t="inlineStr">
        <is>
          <t>1. Mở PR.03 từ menu
2. Nhấn nút 'Sao chép'
3. Quan sát form/popup hiển thị đầy đủ</t>
        </is>
      </c>
      <c r="J46" s="23" t="inlineStr">
        <is>
          <t>(i) Nghiệp vụ/Logic: Thông tin được xử lý thành công và lưu trữ toàn vẹn dữ liệu.
(ii) UI: Thông báo 'Thao tác thành công'.
(iii) Trạng thái: 'Chờ duyệt' (Maker tạo mới).</t>
        </is>
      </c>
      <c r="K46" s="23" t="inlineStr">
        <is>
          <t>II.5.1.3.1</t>
        </is>
      </c>
      <c r="L46" s="23" t="inlineStr">
        <is>
          <t>UI-FUNC.04</t>
        </is>
      </c>
      <c r="M46" s="23" t="inlineStr">
        <is>
          <t>UI-FUNC.04-001</t>
        </is>
      </c>
      <c r="N46" s="23" t="n"/>
      <c r="O46" s="23" t="n"/>
      <c r="P46" s="23" t="n"/>
      <c r="Q46" s="23" t="n"/>
      <c r="R46" s="23" t="n"/>
      <c r="S46" s="23" t="n"/>
      <c r="T46" s="23" t="n"/>
      <c r="U46" s="23">
        <f>IF(R46&lt;&gt;"", R46, O46)</f>
        <v/>
      </c>
    </row>
    <row r="47" ht="15.75" customHeight="1" s="17">
      <c r="A47" s="23" t="inlineStr">
        <is>
          <t>PR03-UI-04-002</t>
        </is>
      </c>
      <c r="B47" s="23" t="inlineStr">
        <is>
          <t>PR03</t>
        </is>
      </c>
      <c r="C47" s="23" t="inlineStr">
        <is>
          <t>UI – Sao chép</t>
        </is>
      </c>
      <c r="D47" s="23" t="inlineStr">
        <is>
          <t>Kiểm tra nút Đóng: Đảm bảo không lưu dữ liệu và thoát form</t>
        </is>
      </c>
      <c r="E47" s="23" t="inlineStr">
        <is>
          <t>Negative</t>
        </is>
      </c>
      <c r="F47" s="23" t="inlineStr">
        <is>
          <t>Regression</t>
        </is>
      </c>
      <c r="G47" s="23" t="inlineStr">
        <is>
          <t>P3</t>
        </is>
      </c>
      <c r="H47" s="23" t="inlineStr">
        <is>
          <t>1. Maker đăng nhập dữ liệu nền tối thiểu.</t>
        </is>
      </c>
      <c r="I47" s="23" t="inlineStr">
        <is>
          <t>1. Mở form chức năng
2. Nhập vài trường
3. Nhấn 'Đóng/Huỷ' và xác nhận (nếu có)</t>
        </is>
      </c>
      <c r="J47" s="23" t="inlineStr">
        <is>
          <t>(i) Nghiệp vụ/Logic: Hệ thống không lưu thông tin đã nhập.
(ii) UI: Đóng form quay về màn trước.
(iii) Trạng thái: Không tạo bản ghi chờ duyệt.</t>
        </is>
      </c>
      <c r="K47" s="23" t="inlineStr">
        <is>
          <t>II.5.1.3.1</t>
        </is>
      </c>
      <c r="L47" s="23" t="inlineStr">
        <is>
          <t>UI-FUNC.04</t>
        </is>
      </c>
      <c r="M47" s="23" t="inlineStr">
        <is>
          <t>UI-FUNC.04-002</t>
        </is>
      </c>
      <c r="N47" s="23" t="n"/>
      <c r="O47" s="23" t="n"/>
      <c r="P47" s="23" t="n"/>
      <c r="Q47" s="23" t="n"/>
      <c r="R47" s="23" t="n"/>
      <c r="S47" s="23" t="n"/>
      <c r="T47" s="23" t="n"/>
      <c r="U47" s="23">
        <f>IF(R47&lt;&gt;"", R47, O47)</f>
        <v/>
      </c>
    </row>
    <row r="48" ht="15.75" customHeight="1" s="17">
      <c r="A48" s="23" t="inlineStr">
        <is>
          <t>PR03-UI-04-003</t>
        </is>
      </c>
      <c r="B48" s="23" t="inlineStr">
        <is>
          <t>PR03</t>
        </is>
      </c>
      <c r="C48" s="23" t="inlineStr">
        <is>
          <t>UI – Sao chép</t>
        </is>
      </c>
      <c r="D48" s="23" t="inlineStr">
        <is>
          <t>Kiểm tra biên: Xác minh giới hạn của Sao chép – trạng thái nút/toolbar/pagination – Boundary</t>
        </is>
      </c>
      <c r="E48" s="23" t="inlineStr">
        <is>
          <t>Boundary</t>
        </is>
      </c>
      <c r="F48" s="23" t="inlineStr">
        <is>
          <t>Regression</t>
        </is>
      </c>
      <c r="G48" s="23" t="inlineStr">
        <is>
          <t>P3</t>
        </is>
      </c>
      <c r="H48" s="23" t="inlineStr">
        <is>
          <t>1. Maker đăng nhập dữ liệu nền tối thiểu.</t>
        </is>
      </c>
      <c r="I48" s="23" t="inlineStr">
        <is>
          <t>1. Mở danh sách
2. Đổi page size 10→20→50 &amp; Next/Prev
3. Hover tooltip các nút
4. Tick/untick dòng để kiểm tra enable/disable nút</t>
        </is>
      </c>
      <c r="J48" s="23" t="inlineStr">
        <is>
          <t>(i) Nghiệp vụ/Logic: Hệ thống xử lý đúng quy định tại giá trị biên (Min/Max/Limit).
(ii) UI: Hiển thị thông báo hoặc trạng thái tương ứng.
(iii) Trạng thái: Lưu hoặc Chặn tùy quy định.</t>
        </is>
      </c>
      <c r="K48" s="23" t="inlineStr">
        <is>
          <t>II.5.1.3.1</t>
        </is>
      </c>
      <c r="L48" s="23" t="inlineStr">
        <is>
          <t>UI-FUNC.04</t>
        </is>
      </c>
      <c r="M48" s="23" t="inlineStr">
        <is>
          <t>UI-FUNC.04-003</t>
        </is>
      </c>
      <c r="N48" s="23" t="n"/>
      <c r="O48" s="23" t="n"/>
      <c r="P48" s="23" t="n"/>
      <c r="Q48" s="23" t="n"/>
      <c r="R48" s="23" t="n"/>
      <c r="S48" s="23" t="n"/>
      <c r="T48" s="23" t="n"/>
      <c r="U48" s="23">
        <f>IF(R48&lt;&gt;"", R48, O48)</f>
        <v/>
      </c>
    </row>
    <row r="49" ht="15.75" customHeight="1" s="17">
      <c r="A49" s="23" t="inlineStr">
        <is>
          <t>PR03-UI-05-001</t>
        </is>
      </c>
      <c r="B49" s="23" t="inlineStr">
        <is>
          <t>PR03</t>
        </is>
      </c>
      <c r="C49" s="23" t="inlineStr">
        <is>
          <t>UI – Xem</t>
        </is>
      </c>
      <c r="D49" s="23" t="inlineStr">
        <is>
          <t>Kiểm tra thành công: Luồng Xem – mở form/điều hướng – Happy</t>
        </is>
      </c>
      <c r="E49" s="23" t="inlineStr">
        <is>
          <t>Happy</t>
        </is>
      </c>
      <c r="F49" s="23" t="inlineStr">
        <is>
          <t>Smoke</t>
        </is>
      </c>
      <c r="G49" s="23" t="inlineStr">
        <is>
          <t>P2</t>
        </is>
      </c>
      <c r="H49" s="23" t="inlineStr">
        <is>
          <t>1. Maker đăng nhập dữ liệu nền tối thiểu.</t>
        </is>
      </c>
      <c r="I49" s="23" t="inlineStr">
        <is>
          <t>1. Mở PR.03 từ menu
2. Nhấn nút 'Xem'
3. Quan sát form/popup hiển thị đầy đủ</t>
        </is>
      </c>
      <c r="J49" s="23" t="inlineStr">
        <is>
          <t>(i) Nghiệp vụ/Logic: Thông tin được xử lý thành công và lưu trữ toàn vẹn dữ liệu.
(ii) UI: Thông báo 'Thao tác thành công'.
(iii) Trạng thái: 'Chờ duyệt' (Maker tạo mới).</t>
        </is>
      </c>
      <c r="K49" s="23" t="inlineStr">
        <is>
          <t>II.5.1.3.1</t>
        </is>
      </c>
      <c r="L49" s="23" t="inlineStr">
        <is>
          <t>UI-FUNC.05</t>
        </is>
      </c>
      <c r="M49" s="23" t="inlineStr">
        <is>
          <t>UI-FUNC.05-001</t>
        </is>
      </c>
      <c r="N49" s="23" t="n"/>
      <c r="O49" s="23" t="n"/>
      <c r="P49" s="23" t="n"/>
      <c r="Q49" s="23" t="n"/>
      <c r="R49" s="23" t="n"/>
      <c r="S49" s="23" t="n"/>
      <c r="T49" s="23" t="n"/>
      <c r="U49" s="23">
        <f>IF(R49&lt;&gt;"", R49, O49)</f>
        <v/>
      </c>
    </row>
    <row r="50" ht="15.75" customHeight="1" s="17">
      <c r="A50" s="23" t="inlineStr">
        <is>
          <t>PR03-UI-05-002</t>
        </is>
      </c>
      <c r="B50" s="23" t="inlineStr">
        <is>
          <t>PR03</t>
        </is>
      </c>
      <c r="C50" s="23" t="inlineStr">
        <is>
          <t>UI – Xem</t>
        </is>
      </c>
      <c r="D50" s="23" t="inlineStr">
        <is>
          <t>Kiểm tra nút Đóng: Đảm bảo không lưu dữ liệu và thoát form</t>
        </is>
      </c>
      <c r="E50" s="23" t="inlineStr">
        <is>
          <t>Negative</t>
        </is>
      </c>
      <c r="F50" s="23" t="inlineStr">
        <is>
          <t>Regression</t>
        </is>
      </c>
      <c r="G50" s="23" t="inlineStr">
        <is>
          <t>P3</t>
        </is>
      </c>
      <c r="H50" s="23" t="inlineStr">
        <is>
          <t>1. Maker đăng nhập dữ liệu nền tối thiểu.</t>
        </is>
      </c>
      <c r="I50" s="23" t="inlineStr">
        <is>
          <t>1. Mở form chức năng
2. Nhập vài trường
3. Nhấn 'Đóng/Huỷ' và xác nhận (nếu có)</t>
        </is>
      </c>
      <c r="J50" s="23" t="inlineStr">
        <is>
          <t>(i) Nghiệp vụ/Logic: Hệ thống không lưu thông tin đã nhập.
(ii) UI: Đóng form quay về màn trước.
(iii) Trạng thái: Không tạo bản ghi chờ duyệt.</t>
        </is>
      </c>
      <c r="K50" s="23" t="inlineStr">
        <is>
          <t>II.5.1.3.1</t>
        </is>
      </c>
      <c r="L50" s="23" t="inlineStr">
        <is>
          <t>UI-FUNC.05</t>
        </is>
      </c>
      <c r="M50" s="23" t="inlineStr">
        <is>
          <t>UI-FUNC.05-002</t>
        </is>
      </c>
      <c r="N50" s="23" t="n"/>
      <c r="O50" s="23" t="n"/>
      <c r="P50" s="23" t="n"/>
      <c r="Q50" s="23" t="n"/>
      <c r="R50" s="23" t="n"/>
      <c r="S50" s="23" t="n"/>
      <c r="T50" s="23" t="n"/>
      <c r="U50" s="23">
        <f>IF(R50&lt;&gt;"", R50, O50)</f>
        <v/>
      </c>
    </row>
    <row r="51" ht="15.75" customHeight="1" s="17">
      <c r="A51" s="23" t="inlineStr">
        <is>
          <t>PR03-UI-06-001</t>
        </is>
      </c>
      <c r="B51" s="23" t="inlineStr">
        <is>
          <t>PR03</t>
        </is>
      </c>
      <c r="C51" s="23" t="inlineStr">
        <is>
          <t>UI – Tìm kiếm</t>
        </is>
      </c>
      <c r="D51" s="23" t="inlineStr">
        <is>
          <t>Kiểm tra thành công: Luồng Tìm kiếm – mở form/điều hướng – Happy</t>
        </is>
      </c>
      <c r="E51" s="23" t="inlineStr">
        <is>
          <t>Happy</t>
        </is>
      </c>
      <c r="F51" s="23" t="inlineStr">
        <is>
          <t>Smoke</t>
        </is>
      </c>
      <c r="G51" s="23" t="inlineStr">
        <is>
          <t>P2</t>
        </is>
      </c>
      <c r="H51" s="23" t="inlineStr">
        <is>
          <t>1. Maker đăng nhập dữ liệu nền tối thiểu.</t>
        </is>
      </c>
      <c r="I51" s="23" t="inlineStr">
        <is>
          <t>1. Mở PR.03 từ menu
2. Nhấn nút 'Tìm kiếm'
3. Quan sát form/popup hiển thị đầy đủ</t>
        </is>
      </c>
      <c r="J51" s="23" t="inlineStr">
        <is>
          <t>(i) Nghiệp vụ/Logic: Thông tin được xử lý thành công và lưu trữ toàn vẹn dữ liệu.
(ii) UI: Thông báo 'Thao tác thành công'.
(iii) Trạng thái: 'Chờ duyệt' (Maker tạo mới).</t>
        </is>
      </c>
      <c r="K51" s="23" t="inlineStr">
        <is>
          <t>II.5.1.3.1</t>
        </is>
      </c>
      <c r="L51" s="23" t="inlineStr">
        <is>
          <t>UI-FUNC.06</t>
        </is>
      </c>
      <c r="M51" s="23" t="inlineStr">
        <is>
          <t>UI-FUNC.06-001</t>
        </is>
      </c>
      <c r="N51" s="23" t="n"/>
      <c r="O51" s="23" t="n"/>
      <c r="P51" s="23" t="n"/>
      <c r="Q51" s="23" t="n"/>
      <c r="R51" s="23" t="n"/>
      <c r="S51" s="23" t="n"/>
      <c r="T51" s="23" t="n"/>
      <c r="U51" s="23">
        <f>IF(R51&lt;&gt;"", R51, O51)</f>
        <v/>
      </c>
    </row>
    <row r="52" ht="15.75" customHeight="1" s="17">
      <c r="A52" s="23" t="inlineStr">
        <is>
          <t>PR03-UI-06-002</t>
        </is>
      </c>
      <c r="B52" s="23" t="inlineStr">
        <is>
          <t>PR03</t>
        </is>
      </c>
      <c r="C52" s="23" t="inlineStr">
        <is>
          <t>UI – Tìm kiếm</t>
        </is>
      </c>
      <c r="D52" s="23" t="inlineStr">
        <is>
          <t>Kiểm tra nút Đóng: Đảm bảo không lưu dữ liệu và thoát form</t>
        </is>
      </c>
      <c r="E52" s="23" t="inlineStr">
        <is>
          <t>Negative</t>
        </is>
      </c>
      <c r="F52" s="23" t="inlineStr">
        <is>
          <t>Regression</t>
        </is>
      </c>
      <c r="G52" s="23" t="inlineStr">
        <is>
          <t>P3</t>
        </is>
      </c>
      <c r="H52" s="23" t="inlineStr">
        <is>
          <t>1. Maker đăng nhập dữ liệu nền tối thiểu.</t>
        </is>
      </c>
      <c r="I52" s="23" t="inlineStr">
        <is>
          <t>1. Mở form chức năng
2. Nhập vài trường
3. Nhấn 'Đóng/Huỷ' và xác nhận (nếu có)</t>
        </is>
      </c>
      <c r="J52" s="23" t="inlineStr">
        <is>
          <t>(i) Nghiệp vụ/Logic: Hệ thống không lưu thông tin đã nhập.
(ii) UI: Đóng form quay về màn trước.
(iii) Trạng thái: Không tạo bản ghi chờ duyệt.</t>
        </is>
      </c>
      <c r="K52" s="23" t="inlineStr">
        <is>
          <t>II.5.1.3.1</t>
        </is>
      </c>
      <c r="L52" s="23" t="inlineStr">
        <is>
          <t>UI-FUNC.06</t>
        </is>
      </c>
      <c r="M52" s="23" t="inlineStr">
        <is>
          <t>UI-FUNC.06-002</t>
        </is>
      </c>
      <c r="N52" s="23" t="n"/>
      <c r="O52" s="23" t="n"/>
      <c r="P52" s="23" t="n"/>
      <c r="Q52" s="23" t="n"/>
      <c r="R52" s="23" t="n"/>
      <c r="S52" s="23" t="n"/>
      <c r="T52" s="23" t="n"/>
      <c r="U52" s="23">
        <f>IF(R52&lt;&gt;"", R52, O52)</f>
        <v/>
      </c>
    </row>
    <row r="53" ht="15.75" customHeight="1" s="17">
      <c r="A53" s="23" t="inlineStr">
        <is>
          <t>PR03-UI-06-003</t>
        </is>
      </c>
      <c r="B53" s="23" t="inlineStr">
        <is>
          <t>PR03</t>
        </is>
      </c>
      <c r="C53" s="23" t="inlineStr">
        <is>
          <t>UI – Tìm kiếm</t>
        </is>
      </c>
      <c r="D53" s="23" t="inlineStr">
        <is>
          <t>Kiểm tra biên: Xác minh giới hạn của Tìm kiếm – trạng thái nút/toolbar/pagination – Boundary</t>
        </is>
      </c>
      <c r="E53" s="23" t="inlineStr">
        <is>
          <t>Boundary</t>
        </is>
      </c>
      <c r="F53" s="23" t="inlineStr">
        <is>
          <t>Regression</t>
        </is>
      </c>
      <c r="G53" s="23" t="inlineStr">
        <is>
          <t>P3</t>
        </is>
      </c>
      <c r="H53" s="23" t="inlineStr">
        <is>
          <t>1. Maker đăng nhập dữ liệu nền tối thiểu.</t>
        </is>
      </c>
      <c r="I53" s="23" t="inlineStr">
        <is>
          <t>1. Mở danh sách
2. Đổi page size 10→20→50 &amp; Next/Prev
3. Hover tooltip các nút
4. Tick/untick dòng để kiểm tra enable/disable nút</t>
        </is>
      </c>
      <c r="J53" s="23" t="inlineStr">
        <is>
          <t>(i) Nghiệp vụ/Logic: Hệ thống xử lý đúng quy định tại giá trị biên (Min/Max/Limit).
(ii) UI: Hiển thị thông báo hoặc trạng thái tương ứng.
(iii) Trạng thái: Lưu hoặc Chặn tùy quy định.</t>
        </is>
      </c>
      <c r="K53" s="23" t="inlineStr">
        <is>
          <t>II.5.1.3.1</t>
        </is>
      </c>
      <c r="L53" s="23" t="inlineStr">
        <is>
          <t>UI-FUNC.06</t>
        </is>
      </c>
      <c r="M53" s="23" t="inlineStr">
        <is>
          <t>UI-FUNC.06-003</t>
        </is>
      </c>
      <c r="N53" s="23" t="n"/>
      <c r="O53" s="23" t="n"/>
      <c r="P53" s="23" t="n"/>
      <c r="Q53" s="23" t="n"/>
      <c r="R53" s="23" t="n"/>
      <c r="S53" s="23" t="n"/>
      <c r="T53" s="23" t="n"/>
      <c r="U53" s="23">
        <f>IF(R53&lt;&gt;"", R53, O53)</f>
        <v/>
      </c>
    </row>
    <row r="54" ht="15.75" customHeight="1" s="17">
      <c r="A54" s="23" t="inlineStr">
        <is>
          <t>PR03-UI-07-001</t>
        </is>
      </c>
      <c r="B54" s="23" t="inlineStr">
        <is>
          <t>PR03</t>
        </is>
      </c>
      <c r="C54" s="23" t="inlineStr">
        <is>
          <t>UI – Tải xuống</t>
        </is>
      </c>
      <c r="D54" s="23" t="inlineStr">
        <is>
          <t>Kiểm tra thành công: Luồng Tải xuống – mở form/điều hướng – Happy</t>
        </is>
      </c>
      <c r="E54" s="23" t="inlineStr">
        <is>
          <t>Happy</t>
        </is>
      </c>
      <c r="F54" s="23" t="inlineStr">
        <is>
          <t>Smoke</t>
        </is>
      </c>
      <c r="G54" s="23" t="inlineStr">
        <is>
          <t>P2</t>
        </is>
      </c>
      <c r="H54" s="23" t="inlineStr">
        <is>
          <t>1. Maker đăng nhập dữ liệu nền tối thiểu.</t>
        </is>
      </c>
      <c r="I54" s="23" t="inlineStr">
        <is>
          <t>1. Mở PR.03 từ menu
2. Nhấn nút 'Tải xuống'
3. Quan sát form/popup hiển thị đầy đủ</t>
        </is>
      </c>
      <c r="J54" s="23" t="inlineStr">
        <is>
          <t>(i) Nghiệp vụ/Logic: Thông tin được xử lý thành công và lưu trữ toàn vẹn dữ liệu.
(ii) UI: Thông báo 'Thao tác thành công'.
(iii) Trạng thái: 'Chờ duyệt' (Maker tạo mới).</t>
        </is>
      </c>
      <c r="K54" s="23" t="inlineStr">
        <is>
          <t>II.5.1.3.1</t>
        </is>
      </c>
      <c r="L54" s="23" t="inlineStr">
        <is>
          <t>UI-FUNC.07</t>
        </is>
      </c>
      <c r="M54" s="23" t="inlineStr">
        <is>
          <t>UI-FUNC.07-001</t>
        </is>
      </c>
      <c r="N54" s="23" t="n"/>
      <c r="O54" s="23" t="n"/>
      <c r="P54" s="23" t="n"/>
      <c r="Q54" s="23" t="n"/>
      <c r="R54" s="23" t="n"/>
      <c r="S54" s="23" t="n"/>
      <c r="T54" s="23" t="n"/>
      <c r="U54" s="23">
        <f>IF(R54&lt;&gt;"", R54, O54)</f>
        <v/>
      </c>
    </row>
    <row r="55" ht="15.75" customHeight="1" s="17">
      <c r="A55" s="23" t="inlineStr">
        <is>
          <t>PR03-UI-07-002</t>
        </is>
      </c>
      <c r="B55" s="23" t="inlineStr">
        <is>
          <t>PR03</t>
        </is>
      </c>
      <c r="C55" s="23" t="inlineStr">
        <is>
          <t>UI – Tải xuống</t>
        </is>
      </c>
      <c r="D55" s="23" t="inlineStr">
        <is>
          <t>Kiểm tra nút Đóng: Đảm bảo không lưu dữ liệu và thoát form</t>
        </is>
      </c>
      <c r="E55" s="23" t="inlineStr">
        <is>
          <t>Negative</t>
        </is>
      </c>
      <c r="F55" s="23" t="inlineStr">
        <is>
          <t>Regression</t>
        </is>
      </c>
      <c r="G55" s="23" t="inlineStr">
        <is>
          <t>P3</t>
        </is>
      </c>
      <c r="H55" s="23" t="inlineStr">
        <is>
          <t>1. Maker đăng nhập dữ liệu nền tối thiểu.</t>
        </is>
      </c>
      <c r="I55" s="23" t="inlineStr">
        <is>
          <t>1. Mở form chức năng
2. Nhập vài trường
3. Nhấn 'Đóng/Huỷ' và xác nhận (nếu có)</t>
        </is>
      </c>
      <c r="J55" s="23" t="inlineStr">
        <is>
          <t>(i) Nghiệp vụ/Logic: Hệ thống không lưu thông tin đã nhập.
(ii) UI: Đóng form quay về màn trước.
(iii) Trạng thái: Không tạo bản ghi chờ duyệt.</t>
        </is>
      </c>
      <c r="K55" s="23" t="inlineStr">
        <is>
          <t>II.5.1.3.1</t>
        </is>
      </c>
      <c r="L55" s="23" t="inlineStr">
        <is>
          <t>UI-FUNC.07</t>
        </is>
      </c>
      <c r="M55" s="23" t="inlineStr">
        <is>
          <t>UI-FUNC.07-002</t>
        </is>
      </c>
      <c r="N55" s="23" t="n"/>
      <c r="O55" s="23" t="n"/>
      <c r="P55" s="23" t="n"/>
      <c r="Q55" s="23" t="n"/>
      <c r="R55" s="23" t="n"/>
      <c r="S55" s="23" t="n"/>
      <c r="T55" s="23" t="n"/>
      <c r="U55" s="23">
        <f>IF(R55&lt;&gt;"", R55, O55)</f>
        <v/>
      </c>
    </row>
    <row r="56" ht="15.75" customHeight="1" s="17">
      <c r="A56" s="23" t="inlineStr">
        <is>
          <t>PR03-UI-08-001</t>
        </is>
      </c>
      <c r="B56" s="23" t="inlineStr">
        <is>
          <t>PR03</t>
        </is>
      </c>
      <c r="C56" s="23" t="inlineStr">
        <is>
          <t>UI – Chuyển đổi biểu phí</t>
        </is>
      </c>
      <c r="D56" s="23" t="inlineStr">
        <is>
          <t>Kiểm tra thành công: Luồng Chuyển đổi biểu phí – mở form/điều hướng – Happy</t>
        </is>
      </c>
      <c r="E56" s="23" t="inlineStr">
        <is>
          <t>Happy</t>
        </is>
      </c>
      <c r="F56" s="23" t="inlineStr">
        <is>
          <t>Smoke</t>
        </is>
      </c>
      <c r="G56" s="23" t="inlineStr">
        <is>
          <t>P2</t>
        </is>
      </c>
      <c r="H56" s="23" t="inlineStr">
        <is>
          <t>1. Maker đăng nhập dữ liệu nền tối thiểu.</t>
        </is>
      </c>
      <c r="I56" s="23" t="inlineStr">
        <is>
          <t>1. Mở PR.03 từ menu
2. Nhấn nút 'Chuyển đổi'
3. Quan sát form/popup hiển thị đầy đủ</t>
        </is>
      </c>
      <c r="J56" s="23" t="inlineStr">
        <is>
          <t>(i) Nghiệp vụ/Logic: Thông tin được xử lý thành công và lưu trữ toàn vẹn dữ liệu.
(ii) UI: Thông báo 'Thao tác thành công'.
(iii) Trạng thái: 'Chờ duyệt' (Maker tạo mới).</t>
        </is>
      </c>
      <c r="K56" s="23" t="inlineStr">
        <is>
          <t>II.5.1.3.1</t>
        </is>
      </c>
      <c r="L56" s="23" t="inlineStr">
        <is>
          <t>UI-FUNC.08</t>
        </is>
      </c>
      <c r="M56" s="23" t="inlineStr">
        <is>
          <t>UI-FUNC.08-001</t>
        </is>
      </c>
      <c r="N56" s="23" t="n"/>
      <c r="O56" s="23" t="n"/>
      <c r="P56" s="23" t="n"/>
      <c r="Q56" s="23" t="n"/>
      <c r="R56" s="23" t="n"/>
      <c r="S56" s="23" t="n"/>
      <c r="T56" s="23" t="n"/>
      <c r="U56" s="23">
        <f>IF(R56&lt;&gt;"", R56, O56)</f>
        <v/>
      </c>
    </row>
    <row r="57" ht="15.75" customHeight="1" s="17">
      <c r="A57" s="23" t="inlineStr">
        <is>
          <t>PR03-UI-08-002</t>
        </is>
      </c>
      <c r="B57" s="23" t="inlineStr">
        <is>
          <t>PR03</t>
        </is>
      </c>
      <c r="C57" s="23" t="inlineStr">
        <is>
          <t>UI – Chuyển đổi biểu phí</t>
        </is>
      </c>
      <c r="D57" s="23" t="inlineStr">
        <is>
          <t>Kiểm tra nút Đóng: Đảm bảo không lưu dữ liệu và thoát form</t>
        </is>
      </c>
      <c r="E57" s="23" t="inlineStr">
        <is>
          <t>Negative</t>
        </is>
      </c>
      <c r="F57" s="23" t="inlineStr">
        <is>
          <t>Regression</t>
        </is>
      </c>
      <c r="G57" s="23" t="inlineStr">
        <is>
          <t>P3</t>
        </is>
      </c>
      <c r="H57" s="23" t="inlineStr">
        <is>
          <t>1. Maker đăng nhập dữ liệu nền tối thiểu.</t>
        </is>
      </c>
      <c r="I57" s="23" t="inlineStr">
        <is>
          <t>1. Mở form chức năng
2. Nhập vài trường
3. Nhấn 'Đóng/Huỷ' và xác nhận (nếu có)</t>
        </is>
      </c>
      <c r="J57" s="23" t="inlineStr">
        <is>
          <t>(i) Nghiệp vụ/Logic: Hệ thống không lưu thông tin đã nhập.
(ii) UI: Đóng form quay về màn trước.
(iii) Trạng thái: Không tạo bản ghi chờ duyệt.</t>
        </is>
      </c>
      <c r="K57" s="23" t="inlineStr">
        <is>
          <t>II.5.1.3.1</t>
        </is>
      </c>
      <c r="L57" s="23" t="inlineStr">
        <is>
          <t>UI-FUNC.08</t>
        </is>
      </c>
      <c r="M57" s="23" t="inlineStr">
        <is>
          <t>UI-FUNC.08-002</t>
        </is>
      </c>
      <c r="N57" s="23" t="n"/>
      <c r="O57" s="23" t="n"/>
      <c r="P57" s="23" t="n"/>
      <c r="Q57" s="23" t="n"/>
      <c r="R57" s="23" t="n"/>
      <c r="S57" s="23" t="n"/>
      <c r="T57" s="23" t="n"/>
      <c r="U57" s="23">
        <f>IF(R57&lt;&gt;"", R57, O57)</f>
        <v/>
      </c>
    </row>
    <row r="58" ht="15.75" customHeight="1" s="17">
      <c r="A58" s="23" t="inlineStr">
        <is>
          <t>PR03-FLOW-01-001</t>
        </is>
      </c>
      <c r="B58" s="23" t="inlineStr">
        <is>
          <t>PR03</t>
        </is>
      </c>
      <c r="C58" s="23" t="inlineStr">
        <is>
          <t>Thêm mới biểu phí</t>
        </is>
      </c>
      <c r="D58" s="23" t="inlineStr">
        <is>
          <t>Thêm mới – Luồng chuẩn Maker→OT.01→Checker (Happy)</t>
        </is>
      </c>
      <c r="E58" s="23" t="inlineStr">
        <is>
          <t>Flow</t>
        </is>
      </c>
      <c r="F58" s="23" t="inlineStr">
        <is>
          <t>Smoke</t>
        </is>
      </c>
      <c r="G58" s="23" t="inlineStr">
        <is>
          <t>P1</t>
        </is>
      </c>
      <c r="H58" s="23" t="inlineStr">
        <is>
          <t>1. Maker/Checker có quyền OT 01 hoạt động dữ liệu nền hợp lệ.</t>
        </is>
      </c>
      <c r="I58" s="23" t="inlineStr">
        <is>
          <t>1. 'Thêm mới' → nhập đủ bộ trường;
(nếu có) tải ds_codephi.xlsx
2. Nhấn 'Xác nhận'
3. Checker duyệt trong 'Tác vụ chờ duyệt'</t>
        </is>
      </c>
      <c r="J58" s="23" t="inlineStr">
        <is>
          <t>(i) Logic: Tạo bản ghi mới trạng thái 'Chờ duyệt'; OT.01 loại 'Thêm mới' với Maker/timestamp đúng
(ii) UI: Trước duyệt: KHÔNG hiển thị trên lưới; Sau duyệt: hiển thị đầy đủ
(Tên, Mã, SPDV, Ngày hiệu lực, DS code phí, Edoc)
(iii) Trạng thái/Audit log: Bản ghi lưu ở trạng thái 'Chờ duyệt' tại màn hình Tác vụ chờ duyệt. Hệ thống tự động điền Ngày tạo
(thực tế) và Người tạo (Username Maker).</t>
        </is>
      </c>
      <c r="K58" s="23" t="inlineStr">
        <is>
          <t>II.5.1.3.2.b; II.5.1.3.2.c</t>
        </is>
      </c>
      <c r="L58" s="23" t="inlineStr">
        <is>
          <t>FLOW.01</t>
        </is>
      </c>
      <c r="M58" s="23" t="inlineStr">
        <is>
          <t>FLOW.01-01</t>
        </is>
      </c>
      <c r="N58" s="23" t="n"/>
      <c r="O58" s="23" t="n"/>
      <c r="P58" s="23" t="n"/>
      <c r="Q58" s="23" t="n"/>
      <c r="R58" s="23" t="n"/>
      <c r="S58" s="23" t="n"/>
      <c r="T58" s="23" t="n"/>
      <c r="U58" s="23">
        <f>IF(R58&lt;&gt;"", R58, O58)</f>
        <v/>
      </c>
    </row>
    <row r="59" ht="15.75" customHeight="1" s="17">
      <c r="A59" s="23" t="inlineStr">
        <is>
          <t>PR03-FLOW-01-002</t>
        </is>
      </c>
      <c r="B59" s="23" t="inlineStr">
        <is>
          <t>PR03</t>
        </is>
      </c>
      <c r="C59" s="23" t="inlineStr">
        <is>
          <t>Thêm mới biểu phí</t>
        </is>
      </c>
      <c r="D59" s="23" t="inlineStr">
        <is>
          <t>Kiểm tra nút Đóng: Đảm bảo không lưu dữ liệu và thoát form</t>
        </is>
      </c>
      <c r="E59" s="23" t="inlineStr">
        <is>
          <t>Flow</t>
        </is>
      </c>
      <c r="F59" s="23" t="inlineStr">
        <is>
          <t>Regression</t>
        </is>
      </c>
      <c r="G59" s="23" t="inlineStr">
        <is>
          <t>P2</t>
        </is>
      </c>
      <c r="H59" s="23" t="inlineStr">
        <is>
          <t>1. Maker/Checker có quyền OT 01 hoạt động dữ liệu nền hợp lệ.</t>
        </is>
      </c>
      <c r="I59" s="23" t="inlineStr">
        <is>
          <t>1. 'Thêm mới' → nhập vài trường
2. Nhấn 'Huỷ/Đóng'</t>
        </is>
      </c>
      <c r="J59" s="23" t="inlineStr">
        <is>
          <t>(i) Nghiệp vụ/Logic: Hệ thống không lưu thông tin đã nhập.
(ii) UI: Đóng form quay về màn trước.
(iii) Trạng thái: Không tạo bản ghi chờ duyệt.</t>
        </is>
      </c>
      <c r="K59" s="23" t="inlineStr">
        <is>
          <t>II.5.1.3.2.b; II.5.1.3.2.c</t>
        </is>
      </c>
      <c r="L59" s="23" t="inlineStr">
        <is>
          <t>FLOW.01</t>
        </is>
      </c>
      <c r="M59" s="23" t="inlineStr">
        <is>
          <t>FLOW.01-02</t>
        </is>
      </c>
      <c r="N59" s="23" t="n"/>
      <c r="O59" s="23" t="n"/>
      <c r="P59" s="23" t="n"/>
      <c r="Q59" s="23" t="n"/>
      <c r="R59" s="23" t="n"/>
      <c r="S59" s="23" t="n"/>
      <c r="T59" s="23" t="n"/>
      <c r="U59" s="23">
        <f>IF(R59&lt;&gt;"", R59, O59)</f>
        <v/>
      </c>
    </row>
    <row r="60" ht="15.75" customHeight="1" s="17">
      <c r="A60" s="23" t="inlineStr">
        <is>
          <t>PR03-FLOW-01-003</t>
        </is>
      </c>
      <c r="B60" s="23" t="inlineStr">
        <is>
          <t>PR03</t>
        </is>
      </c>
      <c r="C60" s="23" t="inlineStr">
        <is>
          <t>Thêm mới biểu phí</t>
        </is>
      </c>
      <c r="D60" s="23" t="inlineStr">
        <is>
          <t>Thêm mới – Checker Reject</t>
        </is>
      </c>
      <c r="E60" s="23" t="inlineStr">
        <is>
          <t>Flow</t>
        </is>
      </c>
      <c r="F60" s="23" t="inlineStr">
        <is>
          <t>Smoke</t>
        </is>
      </c>
      <c r="G60" s="23" t="inlineStr">
        <is>
          <t>P1</t>
        </is>
      </c>
      <c r="H60" s="23" t="inlineStr">
        <is>
          <t>1. Maker/Checker có quyền OT 01 hoạt động dữ liệu nền hợp lệ.</t>
        </is>
      </c>
      <c r="I60" s="23" t="inlineStr">
        <is>
          <t>1. Maker tạo yêu cầu
2. Checker 'Từ chối' và nhập lý do</t>
        </is>
      </c>
      <c r="J60" s="23" t="inlineStr">
        <is>
          <t>(i) Logic: Checker từ chối → tác vụ OT.01 ở trạng thái 'Từ chối' kèm lý do
(ii) UI: Không tạo bản ghi mới trên lưới
(iii) Trạng thái/Audit log: Bản ghi lưu ở trạng thái 'Chờ duyệt' tại màn hình Tác vụ chờ duyệt. Hệ thống tự động điền Ngày tạo
(thực tế) và Người tạo (Username Maker).</t>
        </is>
      </c>
      <c r="K60" s="23" t="inlineStr">
        <is>
          <t>II.5.1.3.2.b; II.5.1.3.2.c</t>
        </is>
      </c>
      <c r="L60" s="23" t="inlineStr">
        <is>
          <t>FLOW.01</t>
        </is>
      </c>
      <c r="M60" s="23" t="inlineStr">
        <is>
          <t>FLOW.01-03</t>
        </is>
      </c>
      <c r="N60" s="23" t="n"/>
      <c r="O60" s="23" t="n"/>
      <c r="P60" s="23" t="n"/>
      <c r="Q60" s="23" t="n"/>
      <c r="R60" s="23" t="n"/>
      <c r="S60" s="23" t="n"/>
      <c r="T60" s="23" t="n"/>
      <c r="U60" s="23">
        <f>IF(R60&lt;&gt;"", R60, O60)</f>
        <v/>
      </c>
    </row>
    <row r="61" ht="15.75" customHeight="1" s="17">
      <c r="A61" s="23" t="inlineStr">
        <is>
          <t>PR03-FLOW-01-004</t>
        </is>
      </c>
      <c r="B61" s="23" t="inlineStr">
        <is>
          <t>PR03</t>
        </is>
      </c>
      <c r="C61" s="23" t="inlineStr">
        <is>
          <t>Thêm mới biểu phí</t>
        </is>
      </c>
      <c r="D61" s="23" t="inlineStr">
        <is>
          <t>Thêm mới – Maker sửa &amp; gửi lại sau Reject</t>
        </is>
      </c>
      <c r="E61" s="23" t="inlineStr">
        <is>
          <t>Flow</t>
        </is>
      </c>
      <c r="F61" s="23" t="inlineStr">
        <is>
          <t>Regression</t>
        </is>
      </c>
      <c r="G61" s="23" t="inlineStr">
        <is>
          <t>P2</t>
        </is>
      </c>
      <c r="H61" s="23" t="inlineStr">
        <is>
          <t>1. Maker/Checker có quyền OT 01 hoạt động dữ liệu nền hợp lệ.</t>
        </is>
      </c>
      <c r="I61" s="23" t="inlineStr">
        <is>
          <t>1. Maker mở lại yêu cầu bị từ chối
2. Chỉnh sửa và 'Xác nhận' gửi lại
3. Checker duyệt</t>
        </is>
      </c>
      <c r="J61" s="23" t="inlineStr">
        <is>
          <t>(i) Logic: Maker chỉnh sửa và gửi lại → cập nhật tác vụ/khởi tạo OT.01 mới
(ii) UI: Sau duyệt → bản ghi hiển thị đầy đủ trên lưới
(iii) Trạng thái/Audit log: Bản ghi lưu ở trạng thái 'Chờ duyệt' tại màn hình Tác vụ chờ duyệt. Hệ thống tự động điền Ngày tạo
(thực tế) và Người tạo (Username Maker).</t>
        </is>
      </c>
      <c r="K61" s="23" t="inlineStr">
        <is>
          <t>II.5.1.3.2.b; II.5.1.3.2.c</t>
        </is>
      </c>
      <c r="L61" s="23" t="inlineStr">
        <is>
          <t>FLOW.01</t>
        </is>
      </c>
      <c r="M61" s="23" t="inlineStr">
        <is>
          <t>FLOW.01-04</t>
        </is>
      </c>
      <c r="N61" s="23" t="n"/>
      <c r="O61" s="23" t="n"/>
      <c r="P61" s="23" t="n"/>
      <c r="Q61" s="23" t="n"/>
      <c r="R61" s="23" t="n"/>
      <c r="S61" s="23" t="n"/>
      <c r="T61" s="23" t="n"/>
      <c r="U61" s="23">
        <f>IF(R61&lt;&gt;"", R61, O61)</f>
        <v/>
      </c>
    </row>
    <row r="62" ht="15.75" customHeight="1" s="17">
      <c r="A62" s="23" t="inlineStr">
        <is>
          <t>PR03-FLOW-01-005</t>
        </is>
      </c>
      <c r="B62" s="23" t="inlineStr">
        <is>
          <t>PR03</t>
        </is>
      </c>
      <c r="C62" s="23" t="inlineStr">
        <is>
          <t>Thêm mới biểu phí</t>
        </is>
      </c>
      <c r="D62" s="23" t="inlineStr">
        <is>
          <t>Thêm mới – Upload DS sai định dạng (.csv/.xls)</t>
        </is>
      </c>
      <c r="E62" s="23" t="inlineStr">
        <is>
          <t>Flow</t>
        </is>
      </c>
      <c r="F62" s="23" t="inlineStr">
        <is>
          <t>Regression</t>
        </is>
      </c>
      <c r="G62" s="23" t="inlineStr">
        <is>
          <t>P2</t>
        </is>
      </c>
      <c r="H62" s="23" t="inlineStr">
        <is>
          <t>1. Maker/Checker có quyền OT 01 hoạt động dữ liệu nền hợp lệ.</t>
        </is>
      </c>
      <c r="I62" s="23" t="inlineStr">
        <is>
          <t>1. 'Thêm mới' → 'Tải lên' file .csv/.xls
2. Nhấn 'Xác nhận'</t>
        </is>
      </c>
      <c r="J62" s="23" t="inlineStr">
        <is>
          <t>(i) Logic: Từ chối file .csv/.xls; hiển thị thông điệp định dạng không hợp lệ
(ii) UI: Không sinh OT.01
(iii) Trạng thái/Audit log: Bản ghi lưu ở trạng thái 'Chờ duyệt' tại màn hình Tác vụ chờ duyệt. Hệ thống tự động điền Ngày tạo
(thực tế) và Người tạo (Username Maker).
(iv) Khác: Danh sách Code phí từ file được load lên lưới dữ liệu thành công.</t>
        </is>
      </c>
      <c r="K62" s="23" t="inlineStr">
        <is>
          <t>II.5.1.3.2.b; II.5.1.3.2.c</t>
        </is>
      </c>
      <c r="L62" s="23" t="inlineStr">
        <is>
          <t>FLOW.01</t>
        </is>
      </c>
      <c r="M62" s="23" t="inlineStr">
        <is>
          <t>FLOW.01-05</t>
        </is>
      </c>
      <c r="N62" s="23" t="n"/>
      <c r="O62" s="23" t="n"/>
      <c r="P62" s="23" t="n"/>
      <c r="Q62" s="23" t="n"/>
      <c r="R62" s="23" t="n"/>
      <c r="S62" s="23" t="n"/>
      <c r="T62" s="23" t="n"/>
      <c r="U62" s="23">
        <f>IF(R62&lt;&gt;"", R62, O62)</f>
        <v/>
      </c>
    </row>
    <row r="63" ht="15.75" customHeight="1" s="17">
      <c r="A63" s="23" t="inlineStr">
        <is>
          <t>PR03-FLOW-01-006</t>
        </is>
      </c>
      <c r="B63" s="23" t="inlineStr">
        <is>
          <t>PR03</t>
        </is>
      </c>
      <c r="C63" s="23" t="inlineStr">
        <is>
          <t>Thêm mới biểu phí</t>
        </is>
      </c>
      <c r="D63" s="23" t="inlineStr">
        <is>
          <t>Thêm mới – Upload DS có lỗi từng dòng</t>
        </is>
      </c>
      <c r="E63" s="23" t="inlineStr">
        <is>
          <t>Flow</t>
        </is>
      </c>
      <c r="F63" s="23" t="inlineStr">
        <is>
          <t>Regression</t>
        </is>
      </c>
      <c r="G63" s="23" t="inlineStr">
        <is>
          <t>P2</t>
        </is>
      </c>
      <c r="H63" s="23" t="inlineStr">
        <is>
          <t>1. Maker/Checker có quyền OT 01 hoạt động dữ liệu nền hợp lệ.</t>
        </is>
      </c>
      <c r="I63" s="23" t="inlineStr">
        <is>
          <t>1. 'Thêm mới' → 'Tải lên' file có 3a/3b/3c
2. Nhấn 'Xác nhận'</t>
        </is>
      </c>
      <c r="J63" s="23" t="inlineStr">
        <is>
          <t>(i) Logic: Hiển thị bảng lỗi theo từng dòng; tổng hợp số lỗi
(ii) UI: Chặn lưu tới khi hết lỗi
(iii) Trạng thái/Audit log: Bản ghi lưu ở trạng thái 'Chờ duyệt' tại màn hình Tác vụ chờ duyệt. Hệ thống tự động điền Ngày tạo
(thực tế) và Người tạo (Username Maker).
(iv) Khác: Danh sách Code phí từ file được load lên lưới dữ liệu thành công.</t>
        </is>
      </c>
      <c r="K63" s="23" t="inlineStr">
        <is>
          <t>II.5.1.3.2.b; II.5.1.3.2.c</t>
        </is>
      </c>
      <c r="L63" s="23" t="inlineStr">
        <is>
          <t>FLOW.01</t>
        </is>
      </c>
      <c r="M63" s="23" t="inlineStr">
        <is>
          <t>FLOW.01-06</t>
        </is>
      </c>
      <c r="N63" s="23" t="n"/>
      <c r="O63" s="23" t="n"/>
      <c r="P63" s="23" t="n"/>
      <c r="Q63" s="23" t="n"/>
      <c r="R63" s="23" t="n"/>
      <c r="S63" s="23" t="n"/>
      <c r="T63" s="23" t="n"/>
      <c r="U63" s="23">
        <f>IF(R63&lt;&gt;"", R63, O63)</f>
        <v/>
      </c>
    </row>
    <row r="64" ht="15.75" customHeight="1" s="17">
      <c r="A64" s="23" t="inlineStr">
        <is>
          <t>PR03-FLOW-01-007</t>
        </is>
      </c>
      <c r="B64" s="23" t="inlineStr">
        <is>
          <t>PR03</t>
        </is>
      </c>
      <c r="C64" s="23" t="inlineStr">
        <is>
          <t>Thêm mới biểu phí</t>
        </is>
      </c>
      <c r="D64" s="23" t="inlineStr">
        <is>
          <t>Thêm mới – Chọn SPDV không cấp cuối</t>
        </is>
      </c>
      <c r="E64" s="23" t="inlineStr">
        <is>
          <t>Flow</t>
        </is>
      </c>
      <c r="F64" s="23" t="inlineStr">
        <is>
          <t>Regression</t>
        </is>
      </c>
      <c r="G64" s="23" t="inlineStr">
        <is>
          <t>P2</t>
        </is>
      </c>
      <c r="H64" s="23" t="inlineStr">
        <is>
          <t>1. Maker/Checker có quyền OT 01 hoạt động dữ liệu nền hợp lệ.</t>
        </is>
      </c>
      <c r="I64" s="23" t="inlineStr">
        <is>
          <t>1. 'Thêm mới' → chọn SPDV không cấp cuối
2. Nhấn 'Xác nhận'</t>
        </is>
      </c>
      <c r="J64" s="23" t="inlineStr">
        <is>
          <t>(i) Logic: SPDV không cấp cuối → hiển thị thông báo và chặn
(ii) UI: Không sinh OT.01; không tạo bản ghi
(iii) Trạng thái/Audit log: Bản ghi lưu ở trạng thái 'Chờ duyệt' tại màn hình Tác vụ chờ duyệt. Hệ thống tự động điền Ngày tạo
(thực tế) và Người tạo (Username Maker).</t>
        </is>
      </c>
      <c r="K64" s="23" t="inlineStr">
        <is>
          <t>II.5.1.3.2.b; II.5.1.3.2.c</t>
        </is>
      </c>
      <c r="L64" s="23" t="inlineStr">
        <is>
          <t>FLOW.01</t>
        </is>
      </c>
      <c r="M64" s="23" t="inlineStr">
        <is>
          <t>FLOW.01-07</t>
        </is>
      </c>
      <c r="N64" s="23" t="n"/>
      <c r="O64" s="23" t="n"/>
      <c r="P64" s="23" t="n"/>
      <c r="Q64" s="23" t="n"/>
      <c r="R64" s="23" t="n"/>
      <c r="S64" s="23" t="n"/>
      <c r="T64" s="23" t="n"/>
      <c r="U64" s="23">
        <f>IF(R64&lt;&gt;"", R64, O64)</f>
        <v/>
      </c>
    </row>
    <row r="65" ht="15.75" customHeight="1" s="17">
      <c r="A65" s="23" t="inlineStr">
        <is>
          <t>PR03-FLOW-01-008</t>
        </is>
      </c>
      <c r="B65" s="23" t="inlineStr">
        <is>
          <t>PR03</t>
        </is>
      </c>
      <c r="C65" s="23" t="inlineStr">
        <is>
          <t>Thêm mới biểu phí</t>
        </is>
      </c>
      <c r="D65" s="23" t="inlineStr">
        <is>
          <t>Thêm mới – Ngày hiệu lực end &lt; start</t>
        </is>
      </c>
      <c r="E65" s="23" t="inlineStr">
        <is>
          <t>Flow</t>
        </is>
      </c>
      <c r="F65" s="23" t="inlineStr">
        <is>
          <t>Regression</t>
        </is>
      </c>
      <c r="G65" s="23" t="inlineStr">
        <is>
          <t>P2</t>
        </is>
      </c>
      <c r="H65" s="23" t="inlineStr">
        <is>
          <t>1. Maker/Checker có quyền OT 01 hoạt động dữ liệu nền hợp lệ.</t>
        </is>
      </c>
      <c r="I65" s="23" t="inlineStr">
        <is>
          <t>1. 'Thêm mới' → nhập ngày end &lt; start
2. Nhấn 'Xác nhận'</t>
        </is>
      </c>
      <c r="J65" s="23" t="inlineStr">
        <is>
          <t>(i) Logic: Ngày hiệu lực end &lt; start → hiển thị lỗi và chặn
(ii) UI: Không sinh OT.01
(iii) Trạng thái/Audit log: Bản ghi lưu ở trạng thái 'Chờ duyệt' tại màn hình Tác vụ chờ duyệt. Hệ thống tự động điền Ngày tạo
(thực tế) và Người tạo (Username Maker).</t>
        </is>
      </c>
      <c r="K65" s="23" t="inlineStr">
        <is>
          <t>II.5.1.3.2.b; II.5.1.3.2.c</t>
        </is>
      </c>
      <c r="L65" s="23" t="inlineStr">
        <is>
          <t>FLOW.01</t>
        </is>
      </c>
      <c r="M65" s="23" t="inlineStr">
        <is>
          <t>FLOW.01-08</t>
        </is>
      </c>
      <c r="N65" s="23" t="n"/>
      <c r="O65" s="23" t="n"/>
      <c r="P65" s="23" t="n"/>
      <c r="Q65" s="23" t="n"/>
      <c r="R65" s="23" t="n"/>
      <c r="S65" s="23" t="n"/>
      <c r="T65" s="23" t="n"/>
      <c r="U65" s="23">
        <f>IF(R65&lt;&gt;"", R65, O65)</f>
        <v/>
      </c>
    </row>
    <row r="66" ht="15.75" customHeight="1" s="17">
      <c r="A66" s="23" t="inlineStr">
        <is>
          <t>PR03-FLOW-01-009</t>
        </is>
      </c>
      <c r="B66" s="23" t="inlineStr">
        <is>
          <t>PR03</t>
        </is>
      </c>
      <c r="C66" s="23" t="inlineStr">
        <is>
          <t>Thêm mới biểu phí</t>
        </is>
      </c>
      <c r="D66" s="23" t="inlineStr">
        <is>
          <t>Thêm mới – Mất kết nối khi Xác nhận</t>
        </is>
      </c>
      <c r="E66" s="23" t="inlineStr">
        <is>
          <t>Flow</t>
        </is>
      </c>
      <c r="F66" s="23" t="inlineStr">
        <is>
          <t>Regression</t>
        </is>
      </c>
      <c r="G66" s="23" t="inlineStr">
        <is>
          <t>P2</t>
        </is>
      </c>
      <c r="H66" s="23" t="inlineStr">
        <is>
          <t>1. Maker/Checker có quyền OT 01 hoạt động dữ liệu nền hợp lệ.</t>
        </is>
      </c>
      <c r="I66" s="23" t="inlineStr">
        <is>
          <t>1. 'Thêm mới' → nhập đủ thông tin
2. Nhấn 'Xác nhận' đồng thời mô phỏng mất kết nối</t>
        </is>
      </c>
      <c r="J66" s="23" t="inlineStr">
        <is>
          <t>(i) Logic: Mất kết nối lúc xác nhận → rollback; hiển thị thông báo lỗi hệ thống
(ii) UI: Không tạo dữ liệu mồ côi/OT.01
(iii) Trạng thái/Audit log: Bản ghi lưu ở trạng thái 'Chờ duyệt' tại màn hình Tác vụ chờ duyệt. Hệ thống tự động điền Ngày tạo
(thực tế) và Người tạo (Username Maker).</t>
        </is>
      </c>
      <c r="K66" s="23" t="inlineStr">
        <is>
          <t>II.5.1.3.2.b; II.5.1.3.2.c</t>
        </is>
      </c>
      <c r="L66" s="23" t="inlineStr">
        <is>
          <t>FLOW.01</t>
        </is>
      </c>
      <c r="M66" s="23" t="inlineStr">
        <is>
          <t>FLOW.01-09</t>
        </is>
      </c>
      <c r="N66" s="23" t="n"/>
      <c r="O66" s="23" t="n"/>
      <c r="P66" s="23" t="n"/>
      <c r="Q66" s="23" t="n"/>
      <c r="R66" s="23" t="n"/>
      <c r="S66" s="23" t="n"/>
      <c r="T66" s="23" t="n"/>
      <c r="U66" s="23">
        <f>IF(R66&lt;&gt;"", R66, O66)</f>
        <v/>
      </c>
    </row>
    <row r="67" ht="15.75" customHeight="1" s="17">
      <c r="A67" s="23" t="inlineStr">
        <is>
          <t>PR03-FLOW-01-010</t>
        </is>
      </c>
      <c r="B67" s="23" t="inlineStr">
        <is>
          <t>PR03</t>
        </is>
      </c>
      <c r="C67" s="23" t="inlineStr">
        <is>
          <t>Thêm mới biểu phí</t>
        </is>
      </c>
      <c r="D67" s="23" t="inlineStr">
        <is>
          <t>Thêm mới – OT.01 timeout</t>
        </is>
      </c>
      <c r="E67" s="23" t="inlineStr">
        <is>
          <t>Flow</t>
        </is>
      </c>
      <c r="F67" s="23" t="inlineStr">
        <is>
          <t>Regression</t>
        </is>
      </c>
      <c r="G67" s="23" t="inlineStr">
        <is>
          <t>P2</t>
        </is>
      </c>
      <c r="H67" s="23" t="inlineStr">
        <is>
          <t>1. Maker/Checker có quyền OT 01 hoạt động dữ liệu nền hợp lệ.</t>
        </is>
      </c>
      <c r="I67" s="23" t="inlineStr">
        <is>
          <t>1. Tạo yêu cầu và để quá SLA OT.01
2. Quan sát trạng thái tác vụ</t>
        </is>
      </c>
      <c r="J67" s="23" t="inlineStr">
        <is>
          <t>(i) Logic: OT.01 quá hạn → trạng thái timeout/expired
(ii) UI: Cho phép Maker gửi lại
(iii) Trạng thái/Audit log: Bản ghi lưu ở trạng thái 'Chờ duyệt' tại màn hình Tác vụ chờ duyệt. Hệ thống tự động điền Ngày tạo
(thực tế) và Người tạo (Username Maker).</t>
        </is>
      </c>
      <c r="K67" s="23" t="inlineStr">
        <is>
          <t>II.5.1.3.2.b; II.5.1.3.2.c</t>
        </is>
      </c>
      <c r="L67" s="23" t="inlineStr">
        <is>
          <t>FLOW.01</t>
        </is>
      </c>
      <c r="M67" s="23" t="inlineStr">
        <is>
          <t>FLOW.01-10</t>
        </is>
      </c>
      <c r="N67" s="23" t="n"/>
      <c r="O67" s="23" t="n"/>
      <c r="P67" s="23" t="n"/>
      <c r="Q67" s="23" t="n"/>
      <c r="R67" s="23" t="n"/>
      <c r="S67" s="23" t="n"/>
      <c r="T67" s="23" t="n"/>
      <c r="U67" s="23">
        <f>IF(R67&lt;&gt;"", R67, O67)</f>
        <v/>
      </c>
    </row>
    <row r="68" ht="15.75" customHeight="1" s="17">
      <c r="A68" s="23" t="inlineStr">
        <is>
          <t>PR03-FLOW-01-011</t>
        </is>
      </c>
      <c r="B68" s="23" t="inlineStr">
        <is>
          <t>PR03</t>
        </is>
      </c>
      <c r="C68" s="23" t="inlineStr">
        <is>
          <t>Thêm mới biểu phí</t>
        </is>
      </c>
      <c r="D68" s="23" t="inlineStr">
        <is>
          <t>Thêm mới – Refresh khi đang nhập</t>
        </is>
      </c>
      <c r="E68" s="23" t="inlineStr">
        <is>
          <t>Flow</t>
        </is>
      </c>
      <c r="F68" s="23" t="inlineStr">
        <is>
          <t>Regression</t>
        </is>
      </c>
      <c r="G68" s="23" t="inlineStr">
        <is>
          <t>P2</t>
        </is>
      </c>
      <c r="H68" s="23" t="inlineStr">
        <is>
          <t>1. Maker/Checker có quyền OT 01 hoạt động dữ liệu nền hợp lệ.</t>
        </is>
      </c>
      <c r="I68" s="23" t="inlineStr">
        <is>
          <t>1. 'Thêm mới' → nhập dữ liệu
2. Refresh trình duyệt</t>
        </is>
      </c>
      <c r="J68" s="23" t="inlineStr">
        <is>
          <t>(i) Logic: Refresh khi đang nhập → trạng thái dữ liệu theo thiết kế
(giữ/mất)
(ii) UI: Chưa xác nhận → không tạo dữ liệu/OT.01
(iii) Trạng thái/Audit log: Bản ghi lưu ở trạng thái 'Chờ duyệt' tại màn hình Tác vụ chờ duyệt. Hệ thống tự động điền Ngày tạo
(thực tế) và Người tạo (Username Maker).</t>
        </is>
      </c>
      <c r="K68" s="23" t="inlineStr">
        <is>
          <t>II.5.1.3.2.b; II.5.1.3.2.c</t>
        </is>
      </c>
      <c r="L68" s="23" t="inlineStr">
        <is>
          <t>FLOW.01</t>
        </is>
      </c>
      <c r="M68" s="23" t="inlineStr">
        <is>
          <t>FLOW.01-11</t>
        </is>
      </c>
      <c r="N68" s="23" t="n"/>
      <c r="O68" s="23" t="n"/>
      <c r="P68" s="23" t="n"/>
      <c r="Q68" s="23" t="n"/>
      <c r="R68" s="23" t="n"/>
      <c r="S68" s="23" t="n"/>
      <c r="T68" s="23" t="n"/>
      <c r="U68" s="23">
        <f>IF(R68&lt;&gt;"", R68, O68)</f>
        <v/>
      </c>
    </row>
    <row r="69" ht="15.75" customHeight="1" s="17">
      <c r="A69" s="23" t="inlineStr">
        <is>
          <t>PR03-FLOW-01-012</t>
        </is>
      </c>
      <c r="B69" s="23" t="inlineStr">
        <is>
          <t>PR03</t>
        </is>
      </c>
      <c r="C69" s="23" t="inlineStr">
        <is>
          <t>Thêm mới biểu phí</t>
        </is>
      </c>
      <c r="D69" s="23" t="inlineStr">
        <is>
          <t>Thêm mới – Back trình duyệt</t>
        </is>
      </c>
      <c r="E69" s="23" t="inlineStr">
        <is>
          <t>Flow</t>
        </is>
      </c>
      <c r="F69" s="23" t="inlineStr">
        <is>
          <t>Regression</t>
        </is>
      </c>
      <c r="G69" s="23" t="inlineStr">
        <is>
          <t>P2</t>
        </is>
      </c>
      <c r="H69" s="23" t="inlineStr">
        <is>
          <t>1. Maker/Checker có quyền OT 01 hoạt động dữ liệu nền hợp lệ.</t>
        </is>
      </c>
      <c r="I69" s="23" t="inlineStr">
        <is>
          <t>1. 'Thêm mới' → nhập dữ liệu
2. Back trình duyệt</t>
        </is>
      </c>
      <c r="J69" s="23" t="inlineStr">
        <is>
          <t>(i) Logic: Back trình duyệt → mất trạng thái theo thiết kế
(ii) UI: Không tạo dữ liệu/OT.01
(iii) Trạng thái/Audit log: Bản ghi lưu ở trạng thái 'Chờ duyệt' tại màn hình Tác vụ chờ duyệt. Hệ thống tự động điền Ngày tạo
(thực tế) và Người tạo (Username Maker).</t>
        </is>
      </c>
      <c r="K69" s="23" t="inlineStr">
        <is>
          <t>II.5.1.3.2.b; II.5.1.3.2.c</t>
        </is>
      </c>
      <c r="L69" s="23" t="inlineStr">
        <is>
          <t>FLOW.01</t>
        </is>
      </c>
      <c r="M69" s="23" t="inlineStr">
        <is>
          <t>FLOW.01-12</t>
        </is>
      </c>
      <c r="N69" s="23" t="n"/>
      <c r="O69" s="23" t="n"/>
      <c r="P69" s="23" t="n"/>
      <c r="Q69" s="23" t="n"/>
      <c r="R69" s="23" t="n"/>
      <c r="S69" s="23" t="n"/>
      <c r="T69" s="23" t="n"/>
      <c r="U69" s="23">
        <f>IF(R69&lt;&gt;"", R69, O69)</f>
        <v/>
      </c>
    </row>
    <row r="70" ht="15.75" customHeight="1" s="17">
      <c r="A70" s="23" t="inlineStr">
        <is>
          <t>PR03-FLOW-01-013</t>
        </is>
      </c>
      <c r="B70" s="23" t="inlineStr">
        <is>
          <t>PR03</t>
        </is>
      </c>
      <c r="C70" s="23" t="inlineStr">
        <is>
          <t>Thêm mới biểu phí</t>
        </is>
      </c>
      <c r="D70" s="23" t="inlineStr">
        <is>
          <t>Thêm mới – Upload &gt;1000 dòng (stress)</t>
        </is>
      </c>
      <c r="E70" s="23" t="inlineStr">
        <is>
          <t>Flow</t>
        </is>
      </c>
      <c r="F70" s="23" t="inlineStr">
        <is>
          <t>Regression</t>
        </is>
      </c>
      <c r="G70" s="23" t="inlineStr">
        <is>
          <t>P2</t>
        </is>
      </c>
      <c r="H70" s="23" t="inlineStr">
        <is>
          <t>1. Maker/Checker có quyền OT 01 hoạt động dữ liệu nền hợp lệ.</t>
        </is>
      </c>
      <c r="I70" s="23" t="inlineStr">
        <is>
          <t>1. 'Thêm mới' → 'Tải lên' file &gt;1000 dòng
2. Nhấn 'Xác nhận'</t>
        </is>
      </c>
      <c r="J70" s="23" t="inlineStr">
        <is>
          <t>(i) Logic: Upload &gt;1000 dòng → xử lý trong giới hạn; hiển thị tiến trình/cảnh báo nếu có
(ii) UI: Không treo UI
(iii) Trạng thái/Audit log: Bản ghi lưu ở trạng thái 'Chờ duyệt' tại màn hình Tác vụ chờ duyệt. Hệ thống tự động điền Ngày tạo
(thực tế) và Người tạo (Username Maker).
(iv) Khác: Danh sách Code phí từ file được load lên lưới dữ liệu thành công.</t>
        </is>
      </c>
      <c r="K70" s="23" t="inlineStr">
        <is>
          <t>II.5.1.3.2.b; II.5.1.3.2.c</t>
        </is>
      </c>
      <c r="L70" s="23" t="inlineStr">
        <is>
          <t>FLOW.01</t>
        </is>
      </c>
      <c r="M70" s="23" t="inlineStr">
        <is>
          <t>FLOW.01-13</t>
        </is>
      </c>
      <c r="N70" s="23" t="n"/>
      <c r="O70" s="23" t="n"/>
      <c r="P70" s="23" t="n"/>
      <c r="Q70" s="23" t="n"/>
      <c r="R70" s="23" t="n"/>
      <c r="S70" s="23" t="n"/>
      <c r="T70" s="23" t="n"/>
      <c r="U70" s="23">
        <f>IF(R70&lt;&gt;"", R70, O70)</f>
        <v/>
      </c>
    </row>
    <row r="71" ht="15.75" customHeight="1" s="17">
      <c r="A71" s="23" t="inlineStr">
        <is>
          <t>PR03-FLOW-01-014</t>
        </is>
      </c>
      <c r="B71" s="23" t="inlineStr">
        <is>
          <t>PR03</t>
        </is>
      </c>
      <c r="C71" s="23" t="inlineStr">
        <is>
          <t>Thêm mới biểu phí</t>
        </is>
      </c>
      <c r="D71" s="23" t="inlineStr">
        <is>
          <t>Thêm mới – Trùng Tên/Mã biểu phí</t>
        </is>
      </c>
      <c r="E71" s="23" t="inlineStr">
        <is>
          <t>Flow</t>
        </is>
      </c>
      <c r="F71" s="23" t="inlineStr">
        <is>
          <t>Regression</t>
        </is>
      </c>
      <c r="G71" s="23" t="inlineStr">
        <is>
          <t>P1</t>
        </is>
      </c>
      <c r="H71" s="23" t="inlineStr">
        <is>
          <t>1. Maker/Checker có quyền OT 01 hoạt động dữ liệu nền hợp lệ.</t>
        </is>
      </c>
      <c r="I71" s="23" t="inlineStr">
        <is>
          <t>1. 'Thêm mới' → nhập Tên/Mã trùng
2. Nhấn 'Xác nhận'</t>
        </is>
      </c>
      <c r="J71" s="23" t="inlineStr">
        <is>
          <t>(i) Logic: Trùng Tên/Mã → chặn lưu; báo lỗi chi tiết tại trường vi phạm
(ii) UI: Không sinh OT.01
(iii) Trạng thái/Audit log: Bản ghi lưu ở trạng thái 'Chờ duyệt' tại màn hình Tác vụ chờ duyệt. Hệ thống tự động điền Ngày tạo
(thực tế) và Người tạo (Username Maker).</t>
        </is>
      </c>
      <c r="K71" s="23" t="inlineStr">
        <is>
          <t>II.5.1.3.2.b; II.5.1.3.2.c</t>
        </is>
      </c>
      <c r="L71" s="23" t="inlineStr">
        <is>
          <t>FLOW.01</t>
        </is>
      </c>
      <c r="M71" s="23" t="inlineStr">
        <is>
          <t>FLOW.01-14</t>
        </is>
      </c>
      <c r="N71" s="23" t="n"/>
      <c r="O71" s="23" t="n"/>
      <c r="P71" s="23" t="n"/>
      <c r="Q71" s="23" t="n"/>
      <c r="R71" s="23" t="n"/>
      <c r="S71" s="23" t="n"/>
      <c r="T71" s="23" t="n"/>
      <c r="U71" s="23">
        <f>IF(R71&lt;&gt;"", R71, O71)</f>
        <v/>
      </c>
    </row>
    <row r="72" ht="15.75" customHeight="1" s="17">
      <c r="A72" s="23" t="inlineStr">
        <is>
          <t>PR03-FLOW-01-015</t>
        </is>
      </c>
      <c r="B72" s="23" t="inlineStr">
        <is>
          <t>PR03</t>
        </is>
      </c>
      <c r="C72" s="23" t="inlineStr">
        <is>
          <t>Thêm mới biểu phí</t>
        </is>
      </c>
      <c r="D72" s="23" t="inlineStr">
        <is>
          <t>Thêm mới – Sau duyệt hiển thị đúng trên lưới</t>
        </is>
      </c>
      <c r="E72" s="23" t="inlineStr">
        <is>
          <t>Flow</t>
        </is>
      </c>
      <c r="F72" s="23" t="inlineStr">
        <is>
          <t>Regression</t>
        </is>
      </c>
      <c r="G72" s="23" t="inlineStr">
        <is>
          <t>P2</t>
        </is>
      </c>
      <c r="H72" s="23" t="inlineStr">
        <is>
          <t>1. Maker/Checker có quyền OT 01 hoạt động dữ liệu nền hợp lệ.</t>
        </is>
      </c>
      <c r="I72" s="23" t="inlineStr">
        <is>
          <t>1. Thực hiện luồng chuẩn
2. Checker duyệt → mở lưới kiểm tra hiển thị</t>
        </is>
      </c>
      <c r="J72" s="23" t="inlineStr">
        <is>
          <t>(i) Logic: Sau duyệt → lưới hiển thị bản ghi mới với dữ liệu đúng
(ii) UI: 'Tác vụ chờ duyệt' không còn dòng chờ
(iii) Trạng thái/Audit log: Bản ghi lưu ở trạng thái 'Chờ duyệt' tại màn hình Tác vụ chờ duyệt. Hệ thống tự động điền Ngày tạo
(thực tế) và Người tạo (Username Maker).</t>
        </is>
      </c>
      <c r="K72" s="23" t="inlineStr">
        <is>
          <t>II.5.1.3.2.b; II.5.1.3.2.c</t>
        </is>
      </c>
      <c r="L72" s="23" t="inlineStr">
        <is>
          <t>FLOW.01</t>
        </is>
      </c>
      <c r="M72" s="23" t="inlineStr">
        <is>
          <t>FLOW.01-15</t>
        </is>
      </c>
      <c r="N72" s="23" t="n"/>
      <c r="O72" s="23" t="n"/>
      <c r="P72" s="23" t="n"/>
      <c r="Q72" s="23" t="n"/>
      <c r="R72" s="23" t="n"/>
      <c r="S72" s="23" t="n"/>
      <c r="T72" s="23" t="n"/>
      <c r="U72" s="23">
        <f>IF(R72&lt;&gt;"", R72, O72)</f>
        <v/>
      </c>
    </row>
    <row r="73" ht="15.75" customHeight="1" s="17">
      <c r="A73" s="23" t="inlineStr">
        <is>
          <t>PR03-FLOW-02-001</t>
        </is>
      </c>
      <c r="B73" s="23" t="inlineStr">
        <is>
          <t>PR03</t>
        </is>
      </c>
      <c r="C73" s="23" t="inlineStr">
        <is>
          <t>Sao chép biểu phí</t>
        </is>
      </c>
      <c r="D73" s="23" t="inlineStr">
        <is>
          <t>Sao chép – Luồng chuẩn Maker chỉnh sửa→OT.01→Checker</t>
        </is>
      </c>
      <c r="E73" s="23" t="inlineStr">
        <is>
          <t>Flow</t>
        </is>
      </c>
      <c r="F73" s="23" t="inlineStr">
        <is>
          <t>Smoke</t>
        </is>
      </c>
      <c r="G73" s="23" t="inlineStr">
        <is>
          <t>P1</t>
        </is>
      </c>
      <c r="H73" s="23" t="inlineStr">
        <is>
          <t>1. Maker/Checker có quyền OT 01 hoạt động dữ liệu nền hợp lệ.</t>
        </is>
      </c>
      <c r="I73" s="23" t="inlineStr">
        <is>
          <t>1. Chọn bản ghi nguồn → 'Sao chép'
2. Sửa thông tin;
(nếu có) upload DS
3. 'Xác nhận'
4. Checker duyệt</t>
        </is>
      </c>
      <c r="J73" s="23" t="inlineStr">
        <is>
          <t>(i) Logic: Tạo yêu cầu sao chép ở trạng thái 'Chờ duyệt'; OT.01 loại 'Sao chép'
(ii) UI: Lưới chi tiết của bản sao chứa DS code phí từ bản gốc
(iii) Trạng thái/Audit log: Bản ghi lưu ở trạng thái 'Chờ duyệt' tại màn hình Tác vụ chờ duyệt. Hệ thống tự động điền Ngày tạo
(thực tế) và Người tạo (Username Maker).</t>
        </is>
      </c>
      <c r="K73" s="23" t="inlineStr">
        <is>
          <t>II.5.1.3.3.b; II.5.1.3.3.c</t>
        </is>
      </c>
      <c r="L73" s="23" t="inlineStr">
        <is>
          <t>FLOW.02</t>
        </is>
      </c>
      <c r="M73" s="23" t="inlineStr">
        <is>
          <t>FLOW.02-01</t>
        </is>
      </c>
      <c r="N73" s="23" t="n"/>
      <c r="O73" s="23" t="n"/>
      <c r="P73" s="23" t="n"/>
      <c r="Q73" s="23" t="n"/>
      <c r="R73" s="23" t="n"/>
      <c r="S73" s="23" t="n"/>
      <c r="T73" s="23" t="n"/>
      <c r="U73" s="23">
        <f>IF(R73&lt;&gt;"", R73, O73)</f>
        <v/>
      </c>
    </row>
    <row r="74" ht="15.75" customHeight="1" s="17">
      <c r="A74" s="23" t="inlineStr">
        <is>
          <t>PR03-FLOW-02-002</t>
        </is>
      </c>
      <c r="B74" s="23" t="inlineStr">
        <is>
          <t>PR03</t>
        </is>
      </c>
      <c r="C74" s="23" t="inlineStr">
        <is>
          <t>Sao chép biểu phí</t>
        </is>
      </c>
      <c r="D74" s="23" t="inlineStr">
        <is>
          <t>Kiểm tra nút Đóng: Đảm bảo không lưu dữ liệu và thoát form</t>
        </is>
      </c>
      <c r="E74" s="23" t="inlineStr">
        <is>
          <t>Flow</t>
        </is>
      </c>
      <c r="F74" s="23" t="inlineStr">
        <is>
          <t>Regression</t>
        </is>
      </c>
      <c r="G74" s="23" t="inlineStr">
        <is>
          <t>P2</t>
        </is>
      </c>
      <c r="H74" s="23" t="inlineStr">
        <is>
          <t>1. Maker/Checker có quyền OT 01 hoạt động dữ liệu nền hợp lệ.</t>
        </is>
      </c>
      <c r="I74" s="23" t="inlineStr">
        <is>
          <t>1. Vào 'Sao chép'
2. Nhập vài trường
3. 'Huỷ/Đóng'</t>
        </is>
      </c>
      <c r="J74" s="23" t="inlineStr">
        <is>
          <t>(i) Nghiệp vụ/Logic: Hệ thống không lưu thông tin đã nhập.
(ii) UI: Đóng form quay về màn trước.
(iii) Trạng thái: Không tạo bản ghi chờ duyệt.</t>
        </is>
      </c>
      <c r="K74" s="23" t="inlineStr">
        <is>
          <t>II.5.1.3.3.b; II.5.1.3.3.c</t>
        </is>
      </c>
      <c r="L74" s="23" t="inlineStr">
        <is>
          <t>FLOW.02</t>
        </is>
      </c>
      <c r="M74" s="23" t="inlineStr">
        <is>
          <t>FLOW.02-02</t>
        </is>
      </c>
      <c r="N74" s="23" t="n"/>
      <c r="O74" s="23" t="n"/>
      <c r="P74" s="23" t="n"/>
      <c r="Q74" s="23" t="n"/>
      <c r="R74" s="23" t="n"/>
      <c r="S74" s="23" t="n"/>
      <c r="T74" s="23" t="n"/>
      <c r="U74" s="23">
        <f>IF(R74&lt;&gt;"", R74, O74)</f>
        <v/>
      </c>
    </row>
    <row r="75" ht="15.75" customHeight="1" s="17">
      <c r="A75" s="23" t="inlineStr">
        <is>
          <t>PR03-FLOW-02-003</t>
        </is>
      </c>
      <c r="B75" s="23" t="inlineStr">
        <is>
          <t>PR03</t>
        </is>
      </c>
      <c r="C75" s="23" t="inlineStr">
        <is>
          <t>Sao chép biểu phí</t>
        </is>
      </c>
      <c r="D75" s="23" t="inlineStr">
        <is>
          <t>Sao chép – Checker Reject</t>
        </is>
      </c>
      <c r="E75" s="23" t="inlineStr">
        <is>
          <t>Flow</t>
        </is>
      </c>
      <c r="F75" s="23" t="inlineStr">
        <is>
          <t>Smoke</t>
        </is>
      </c>
      <c r="G75" s="23" t="inlineStr">
        <is>
          <t>P1</t>
        </is>
      </c>
      <c r="H75" s="23" t="inlineStr">
        <is>
          <t>1. Maker/Checker có quyền OT 01 hoạt động dữ liệu nền hợp lệ.</t>
        </is>
      </c>
      <c r="I75" s="23" t="inlineStr">
        <is>
          <t>1. Maker gửi yêu cầu sao chép
2. Checker 'Từ chối'</t>
        </is>
      </c>
      <c r="J75" s="23" t="inlineStr">
        <is>
          <t>(i) Logic: Checker từ chối → trạng thái 'Từ chối' kèm lý do
(ii) UI: Không có biểu phí mới xuất hiện
(iii) Trạng thái/Audit log: Bản ghi lưu ở trạng thái 'Chờ duyệt' tại màn hình Tác vụ chờ duyệt. Hệ thống tự động điền Ngày tạo
(thực tế) và Người tạo (Username Maker).</t>
        </is>
      </c>
      <c r="K75" s="23" t="inlineStr">
        <is>
          <t>II.5.1.3.3.b; II.5.1.3.3.c</t>
        </is>
      </c>
      <c r="L75" s="23" t="inlineStr">
        <is>
          <t>FLOW.02</t>
        </is>
      </c>
      <c r="M75" s="23" t="inlineStr">
        <is>
          <t>FLOW.02-03</t>
        </is>
      </c>
      <c r="N75" s="23" t="n"/>
      <c r="O75" s="23" t="n"/>
      <c r="P75" s="23" t="n"/>
      <c r="Q75" s="23" t="n"/>
      <c r="R75" s="23" t="n"/>
      <c r="S75" s="23" t="n"/>
      <c r="T75" s="23" t="n"/>
      <c r="U75" s="23">
        <f>IF(R75&lt;&gt;"", R75, O75)</f>
        <v/>
      </c>
    </row>
    <row r="76" ht="15.75" customHeight="1" s="17">
      <c r="A76" s="23" t="inlineStr">
        <is>
          <t>PR03-FLOW-02-004</t>
        </is>
      </c>
      <c r="B76" s="23" t="inlineStr">
        <is>
          <t>PR03</t>
        </is>
      </c>
      <c r="C76" s="23" t="inlineStr">
        <is>
          <t>Sao chép biểu phí</t>
        </is>
      </c>
      <c r="D76" s="23" t="inlineStr">
        <is>
          <t>Sao chép – Maker sửa &amp; gửi lại</t>
        </is>
      </c>
      <c r="E76" s="23" t="inlineStr">
        <is>
          <t>Flow</t>
        </is>
      </c>
      <c r="F76" s="23" t="inlineStr">
        <is>
          <t>Regression</t>
        </is>
      </c>
      <c r="G76" s="23" t="inlineStr">
        <is>
          <t>P2</t>
        </is>
      </c>
      <c r="H76" s="23" t="inlineStr">
        <is>
          <t>1. Maker/Checker có quyền OT 01 hoạt động dữ liệu nền hợp lệ.</t>
        </is>
      </c>
      <c r="I76" s="23" t="inlineStr">
        <is>
          <t>1. Maker sửa và gửi lại
2. Checker duyệt</t>
        </is>
      </c>
      <c r="J76" s="23" t="inlineStr">
        <is>
          <t>(i) Logic: Maker sửa &amp; gửi lại → cập nhật OT.01
(ii) UI: Sau duyệt → hiển thị bản ghi mới
(iii) Trạng thái/Audit log: Bản ghi lưu ở trạng thái 'Chờ duyệt' tại màn hình Tác vụ chờ duyệt. Hệ thống tự động điền Ngày tạo
(thực tế) và Người tạo (Username Maker).</t>
        </is>
      </c>
      <c r="K76" s="23" t="inlineStr">
        <is>
          <t>II.5.1.3.3.b; II.5.1.3.3.c</t>
        </is>
      </c>
      <c r="L76" s="23" t="inlineStr">
        <is>
          <t>FLOW.02</t>
        </is>
      </c>
      <c r="M76" s="23" t="inlineStr">
        <is>
          <t>FLOW.02-04</t>
        </is>
      </c>
      <c r="N76" s="23" t="n"/>
      <c r="O76" s="23" t="n"/>
      <c r="P76" s="23" t="n"/>
      <c r="Q76" s="23" t="n"/>
      <c r="R76" s="23" t="n"/>
      <c r="S76" s="23" t="n"/>
      <c r="T76" s="23" t="n"/>
      <c r="U76" s="23">
        <f>IF(R76&lt;&gt;"", R76, O76)</f>
        <v/>
      </c>
    </row>
    <row r="77" ht="15.75" customHeight="1" s="17">
      <c r="A77" s="23" t="inlineStr">
        <is>
          <t>PR03-FLOW-02-005</t>
        </is>
      </c>
      <c r="B77" s="23" t="inlineStr">
        <is>
          <t>PR03</t>
        </is>
      </c>
      <c r="C77" s="23" t="inlineStr">
        <is>
          <t>Sao chép biểu phí</t>
        </is>
      </c>
      <c r="D77" s="23" t="inlineStr">
        <is>
          <t>Sao chép – Upload DS .xlsx mới</t>
        </is>
      </c>
      <c r="E77" s="23" t="inlineStr">
        <is>
          <t>Flow</t>
        </is>
      </c>
      <c r="F77" s="23" t="inlineStr">
        <is>
          <t>Regression</t>
        </is>
      </c>
      <c r="G77" s="23" t="inlineStr">
        <is>
          <t>P2</t>
        </is>
      </c>
      <c r="H77" s="23" t="inlineStr">
        <is>
          <t>1. Maker/Checker có quyền OT 01 hoạt động dữ liệu nền hợp lệ.</t>
        </is>
      </c>
      <c r="I77" s="23" t="inlineStr">
        <is>
          <t>1. 'Sao chép' → 'Tải lên' ds_codephi.xlsx
2. 'Xác nhận'</t>
        </is>
      </c>
      <c r="J77" s="23" t="inlineStr">
        <is>
          <t>(i) Logic: Upload .xlsx mới → DS code phí thay thế/ghép đúng quy tắc URD
(ii) UI: Không lỗi định dạng
(iii) Trạng thái/Audit log: Bản ghi lưu ở trạng thái 'Chờ duyệt' tại màn hình Tác vụ chờ duyệt. Hệ thống tự động điền Ngày tạo
(thực tế) và Người tạo (Username Maker).
(iv) Khác: Danh sách Code phí từ file được load lên lưới dữ liệu thành công.</t>
        </is>
      </c>
      <c r="K77" s="23" t="inlineStr">
        <is>
          <t>II.5.1.3.3.b; II.5.1.3.3.c</t>
        </is>
      </c>
      <c r="L77" s="23" t="inlineStr">
        <is>
          <t>FLOW.02</t>
        </is>
      </c>
      <c r="M77" s="23" t="inlineStr">
        <is>
          <t>FLOW.02-05</t>
        </is>
      </c>
      <c r="N77" s="23" t="n"/>
      <c r="O77" s="23" t="n"/>
      <c r="P77" s="23" t="n"/>
      <c r="Q77" s="23" t="n"/>
      <c r="R77" s="23" t="n"/>
      <c r="S77" s="23" t="n"/>
      <c r="T77" s="23" t="n"/>
      <c r="U77" s="23">
        <f>IF(R77&lt;&gt;"", R77, O77)</f>
        <v/>
      </c>
    </row>
    <row r="78" ht="15.75" customHeight="1" s="17">
      <c r="A78" s="23" t="inlineStr">
        <is>
          <t>PR03-FLOW-02-006</t>
        </is>
      </c>
      <c r="B78" s="23" t="inlineStr">
        <is>
          <t>PR03</t>
        </is>
      </c>
      <c r="C78" s="23" t="inlineStr">
        <is>
          <t>Sao chép biểu phí</t>
        </is>
      </c>
      <c r="D78" s="23" t="inlineStr">
        <is>
          <t>Sao chép – DS có code phí trùng</t>
        </is>
      </c>
      <c r="E78" s="23" t="inlineStr">
        <is>
          <t>Flow</t>
        </is>
      </c>
      <c r="F78" s="23" t="inlineStr">
        <is>
          <t>Regression</t>
        </is>
      </c>
      <c r="G78" s="23" t="inlineStr">
        <is>
          <t>P2</t>
        </is>
      </c>
      <c r="H78" s="23" t="inlineStr">
        <is>
          <t>1. Maker/Checker có quyền OT 01 hoạt động dữ liệu nền hợp lệ.</t>
        </is>
      </c>
      <c r="I78" s="23" t="inlineStr">
        <is>
          <t>1. 'Sao chép' → 'Tải lên' file có code trùng
2. 'Xác nhận'</t>
        </is>
      </c>
      <c r="J78" s="23" t="inlineStr">
        <is>
          <t>(i) Logic: Phát hiện code phí trùng → chặn; liệt kê dòng trùng trong bảng
(ii) UI: Không sinh OT.01
(iii) Trạng thái/Audit log: Bản ghi lưu ở trạng thái 'Chờ duyệt' tại màn hình Tác vụ chờ duyệt. Hệ thống tự động điền Ngày tạo
(thực tế) và Người tạo (Username Maker).</t>
        </is>
      </c>
      <c r="K78" s="23" t="inlineStr">
        <is>
          <t>II.5.1.3.3.b; II.5.1.3.3.c</t>
        </is>
      </c>
      <c r="L78" s="23" t="inlineStr">
        <is>
          <t>FLOW.02</t>
        </is>
      </c>
      <c r="M78" s="23" t="inlineStr">
        <is>
          <t>FLOW.02-06</t>
        </is>
      </c>
      <c r="N78" s="23" t="n"/>
      <c r="O78" s="23" t="n"/>
      <c r="P78" s="23" t="n"/>
      <c r="Q78" s="23" t="n"/>
      <c r="R78" s="23" t="n"/>
      <c r="S78" s="23" t="n"/>
      <c r="T78" s="23" t="n"/>
      <c r="U78" s="23">
        <f>IF(R78&lt;&gt;"", R78, O78)</f>
        <v/>
      </c>
    </row>
    <row r="79" ht="15.75" customHeight="1" s="17">
      <c r="A79" s="23" t="inlineStr">
        <is>
          <t>PR03-FLOW-02-007</t>
        </is>
      </c>
      <c r="B79" s="23" t="inlineStr">
        <is>
          <t>PR03</t>
        </is>
      </c>
      <c r="C79" s="23" t="inlineStr">
        <is>
          <t>Sao chép biểu phí</t>
        </is>
      </c>
      <c r="D79" s="23" t="inlineStr">
        <is>
          <t>Sao chép – Thiếu trường bắt buộc</t>
        </is>
      </c>
      <c r="E79" s="23" t="inlineStr">
        <is>
          <t>Flow</t>
        </is>
      </c>
      <c r="F79" s="23" t="inlineStr">
        <is>
          <t>Regression</t>
        </is>
      </c>
      <c r="G79" s="23" t="inlineStr">
        <is>
          <t>P2</t>
        </is>
      </c>
      <c r="H79" s="23" t="inlineStr">
        <is>
          <t>1. Maker/Checker có quyền OT 01 hoạt động dữ liệu nền hợp lệ.</t>
        </is>
      </c>
      <c r="I79" s="23" t="inlineStr">
        <is>
          <t>1. 'Sao chép' → xoá 1 trường bắt buộc
2. 'Xác nhận'</t>
        </is>
      </c>
      <c r="J79" s="23" t="inlineStr">
        <is>
          <t>(i) Logic: Thiếu trường bắt buộc → chặn; nêu rõ trường lỗi
(ii) UI: Không sinh OT.01
(iii) Trạng thái/Audit log: Bản ghi lưu ở trạng thái 'Chờ duyệt' tại màn hình Tác vụ chờ duyệt. Hệ thống tự động điền Ngày tạo
(thực tế) và Người tạo (Username Maker).</t>
        </is>
      </c>
      <c r="K79" s="23" t="inlineStr">
        <is>
          <t>II.5.1.3.3.b; II.5.1.3.3.c</t>
        </is>
      </c>
      <c r="L79" s="23" t="inlineStr">
        <is>
          <t>FLOW.02</t>
        </is>
      </c>
      <c r="M79" s="23" t="inlineStr">
        <is>
          <t>FLOW.02-07</t>
        </is>
      </c>
      <c r="N79" s="23" t="n"/>
      <c r="O79" s="23" t="n"/>
      <c r="P79" s="23" t="n"/>
      <c r="Q79" s="23" t="n"/>
      <c r="R79" s="23" t="n"/>
      <c r="S79" s="23" t="n"/>
      <c r="T79" s="23" t="n"/>
      <c r="U79" s="23">
        <f>IF(R79&lt;&gt;"", R79, O79)</f>
        <v/>
      </c>
    </row>
    <row r="80" ht="15.75" customHeight="1" s="17">
      <c r="A80" s="23" t="inlineStr">
        <is>
          <t>PR03-FLOW-02-008</t>
        </is>
      </c>
      <c r="B80" s="23" t="inlineStr">
        <is>
          <t>PR03</t>
        </is>
      </c>
      <c r="C80" s="23" t="inlineStr">
        <is>
          <t>Sao chép biểu phí</t>
        </is>
      </c>
      <c r="D80" s="23" t="inlineStr">
        <is>
          <t>Sao chép – Ngày hiệu lực sai logic</t>
        </is>
      </c>
      <c r="E80" s="23" t="inlineStr">
        <is>
          <t>Flow</t>
        </is>
      </c>
      <c r="F80" s="23" t="inlineStr">
        <is>
          <t>Regression</t>
        </is>
      </c>
      <c r="G80" s="23" t="inlineStr">
        <is>
          <t>P2</t>
        </is>
      </c>
      <c r="H80" s="23" t="inlineStr">
        <is>
          <t>1. Maker/Checker có quyền OT 01 hoạt động dữ liệu nền hợp lệ.</t>
        </is>
      </c>
      <c r="I80" s="23" t="inlineStr">
        <is>
          <t>1. 'Sao chép' → nhập ngày sai logic
2. 'Xác nhận'</t>
        </is>
      </c>
      <c r="J80" s="23" t="inlineStr">
        <is>
          <t>(i) Logic: Ngày sai logic → chặn; hiển thị lỗi tại trường
(ii) UI: Không sinh OT.01
(iii) Trạng thái/Audit log: Bản ghi lưu ở trạng thái 'Chờ duyệt' tại màn hình Tác vụ chờ duyệt. Hệ thống tự động điền Ngày tạo
(thực tế) và Người tạo (Username Maker).</t>
        </is>
      </c>
      <c r="K80" s="23" t="inlineStr">
        <is>
          <t>II.5.1.3.3.b; II.5.1.3.3.c</t>
        </is>
      </c>
      <c r="L80" s="23" t="inlineStr">
        <is>
          <t>FLOW.02</t>
        </is>
      </c>
      <c r="M80" s="23" t="inlineStr">
        <is>
          <t>FLOW.02-08</t>
        </is>
      </c>
      <c r="N80" s="23" t="n"/>
      <c r="O80" s="23" t="n"/>
      <c r="P80" s="23" t="n"/>
      <c r="Q80" s="23" t="n"/>
      <c r="R80" s="23" t="n"/>
      <c r="S80" s="23" t="n"/>
      <c r="T80" s="23" t="n"/>
      <c r="U80" s="23">
        <f>IF(R80&lt;&gt;"", R80, O80)</f>
        <v/>
      </c>
    </row>
    <row r="81" ht="15.75" customHeight="1" s="17">
      <c r="A81" s="23" t="inlineStr">
        <is>
          <t>PR03-FLOW-02-009</t>
        </is>
      </c>
      <c r="B81" s="23" t="inlineStr">
        <is>
          <t>PR03</t>
        </is>
      </c>
      <c r="C81" s="23" t="inlineStr">
        <is>
          <t>Sao chép biểu phí</t>
        </is>
      </c>
      <c r="D81" s="23" t="inlineStr">
        <is>
          <t>Kiểm tra nút Đóng: Đảm bảo không lưu dữ liệu và thoát form</t>
        </is>
      </c>
      <c r="E81" s="23" t="inlineStr">
        <is>
          <t>Flow</t>
        </is>
      </c>
      <c r="F81" s="23" t="inlineStr">
        <is>
          <t>Regression</t>
        </is>
      </c>
      <c r="G81" s="23" t="inlineStr">
        <is>
          <t>P2</t>
        </is>
      </c>
      <c r="H81" s="23" t="inlineStr">
        <is>
          <t>1. Maker/Checker có quyền OT 01 hoạt động dữ liệu nền hợp lệ.</t>
        </is>
      </c>
      <c r="I81" s="23" t="inlineStr">
        <is>
          <t>1. 'Sao chép' → nhấn nút X đóng popup</t>
        </is>
      </c>
      <c r="J81" s="23" t="inlineStr">
        <is>
          <t>(i) Nghiệp vụ/Logic: Hệ thống không lưu thông tin đã nhập.
(ii) UI: Đóng form quay về màn trước.
(iii) Trạng thái: Không tạo bản ghi chờ duyệt.</t>
        </is>
      </c>
      <c r="K81" s="23" t="inlineStr">
        <is>
          <t>II.5.1.3.3.b; II.5.1.3.3.c</t>
        </is>
      </c>
      <c r="L81" s="23" t="inlineStr">
        <is>
          <t>FLOW.02</t>
        </is>
      </c>
      <c r="M81" s="23" t="inlineStr">
        <is>
          <t>FLOW.02-09</t>
        </is>
      </c>
      <c r="N81" s="23" t="n"/>
      <c r="O81" s="23" t="n"/>
      <c r="P81" s="23" t="n"/>
      <c r="Q81" s="23" t="n"/>
      <c r="R81" s="23" t="n"/>
      <c r="S81" s="23" t="n"/>
      <c r="T81" s="23" t="n"/>
      <c r="U81" s="23">
        <f>IF(R81&lt;&gt;"", R81, O81)</f>
        <v/>
      </c>
    </row>
    <row r="82" ht="15.75" customHeight="1" s="17">
      <c r="A82" s="23" t="inlineStr">
        <is>
          <t>PR03-FLOW-02-010</t>
        </is>
      </c>
      <c r="B82" s="23" t="inlineStr">
        <is>
          <t>PR03</t>
        </is>
      </c>
      <c r="C82" s="23" t="inlineStr">
        <is>
          <t>Sao chép biểu phí</t>
        </is>
      </c>
      <c r="D82" s="23" t="inlineStr">
        <is>
          <t>Sao chép – Lỗi hệ thống khi lưu</t>
        </is>
      </c>
      <c r="E82" s="23" t="inlineStr">
        <is>
          <t>Flow</t>
        </is>
      </c>
      <c r="F82" s="23" t="inlineStr">
        <is>
          <t>Regression</t>
        </is>
      </c>
      <c r="G82" s="23" t="inlineStr">
        <is>
          <t>P2</t>
        </is>
      </c>
      <c r="H82" s="23" t="inlineStr">
        <is>
          <t>1. Maker/Checker có quyền OT 01 hoạt động dữ liệu nền hợp lệ.</t>
        </is>
      </c>
      <c r="I82" s="23" t="inlineStr">
        <is>
          <t>1. 'Sao chép' → thao tác lưu khi service mô phỏng lỗi</t>
        </is>
      </c>
      <c r="J82" s="23" t="inlineStr">
        <is>
          <t>(i) Logic: Lỗi hệ thống khi lưu → rollback; hiển thị thông điệp lỗi
(ii) UI: Không dữ liệu mồ côi
(iii) Trạng thái/Audit log: Bản ghi lưu ở trạng thái 'Chờ duyệt' tại màn hình Tác vụ chờ duyệt. Hệ thống tự động điền Ngày tạo
(thực tế) và Người tạo (Username Maker).</t>
        </is>
      </c>
      <c r="K82" s="23" t="inlineStr">
        <is>
          <t>II.5.1.3.3.b; II.5.1.3.3.c</t>
        </is>
      </c>
      <c r="L82" s="23" t="inlineStr">
        <is>
          <t>FLOW.02</t>
        </is>
      </c>
      <c r="M82" s="23" t="inlineStr">
        <is>
          <t>FLOW.02-10</t>
        </is>
      </c>
      <c r="N82" s="23" t="n"/>
      <c r="O82" s="23" t="n"/>
      <c r="P82" s="23" t="n"/>
      <c r="Q82" s="23" t="n"/>
      <c r="R82" s="23" t="n"/>
      <c r="S82" s="23" t="n"/>
      <c r="T82" s="23" t="n"/>
      <c r="U82" s="23">
        <f>IF(R82&lt;&gt;"", R82, O82)</f>
        <v/>
      </c>
    </row>
    <row r="83" ht="15.75" customHeight="1" s="17">
      <c r="A83" s="23" t="inlineStr">
        <is>
          <t>PR03-FLOW-02-011</t>
        </is>
      </c>
      <c r="B83" s="23" t="inlineStr">
        <is>
          <t>PR03</t>
        </is>
      </c>
      <c r="C83" s="23" t="inlineStr">
        <is>
          <t>Sao chép biểu phí</t>
        </is>
      </c>
      <c r="D83" s="23" t="inlineStr">
        <is>
          <t>Sao chép – Dữ liệu gốc thay đổi giữa chừng</t>
        </is>
      </c>
      <c r="E83" s="23" t="inlineStr">
        <is>
          <t>Flow</t>
        </is>
      </c>
      <c r="F83" s="23" t="inlineStr">
        <is>
          <t>Regression</t>
        </is>
      </c>
      <c r="G83" s="23" t="inlineStr">
        <is>
          <t>P2</t>
        </is>
      </c>
      <c r="H83" s="23" t="inlineStr">
        <is>
          <t>1. Maker/Checker có quyền OT 01 hoạt động dữ liệu nền hợp lệ.</t>
        </is>
      </c>
      <c r="I83" s="23" t="inlineStr">
        <is>
          <t>1. 'Sao chép' mở sẵn
2. Trong lúc đó biểu phí gốc bị sửa
3. Thử lưu lại</t>
        </is>
      </c>
      <c r="J83" s="23" t="inlineStr">
        <is>
          <t>(i) Logic: Khi bản gốc thay đổi trong lúc sao chép → hệ thống cảnh báo/xử lý xung đột theo thiết kế
(ii) UI: Đảm bảo dữ liệu bản sao nhất quán
(iii) Trạng thái/Audit log: Bản ghi lưu ở trạng thái 'Chờ duyệt' tại màn hình Tác vụ chờ duyệt. Hệ thống tự động điền Ngày tạo
(thực tế) và Người tạo (Username Maker).</t>
        </is>
      </c>
      <c r="K83" s="23" t="inlineStr">
        <is>
          <t>II.5.1.3.3.b; II.5.1.3.3.c</t>
        </is>
      </c>
      <c r="L83" s="23" t="inlineStr">
        <is>
          <t>FLOW.02</t>
        </is>
      </c>
      <c r="M83" s="23" t="inlineStr">
        <is>
          <t>FLOW.02-11</t>
        </is>
      </c>
      <c r="N83" s="23" t="n"/>
      <c r="O83" s="23" t="n"/>
      <c r="P83" s="23" t="n"/>
      <c r="Q83" s="23" t="n"/>
      <c r="R83" s="23" t="n"/>
      <c r="S83" s="23" t="n"/>
      <c r="T83" s="23" t="n"/>
      <c r="U83" s="23">
        <f>IF(R83&lt;&gt;"", R83, O83)</f>
        <v/>
      </c>
    </row>
    <row r="84" ht="15.75" customHeight="1" s="17">
      <c r="A84" s="23" t="inlineStr">
        <is>
          <t>PR03-FLOW-02-012</t>
        </is>
      </c>
      <c r="B84" s="23" t="inlineStr">
        <is>
          <t>PR03</t>
        </is>
      </c>
      <c r="C84" s="23" t="inlineStr">
        <is>
          <t>Sao chép biểu phí</t>
        </is>
      </c>
      <c r="D84" s="23" t="inlineStr">
        <is>
          <t>Sao chép – &gt;100 code phí</t>
        </is>
      </c>
      <c r="E84" s="23" t="inlineStr">
        <is>
          <t>Flow</t>
        </is>
      </c>
      <c r="F84" s="23" t="inlineStr">
        <is>
          <t>Regression</t>
        </is>
      </c>
      <c r="G84" s="23" t="inlineStr">
        <is>
          <t>P2</t>
        </is>
      </c>
      <c r="H84" s="23" t="inlineStr">
        <is>
          <t>1. Maker/Checker có quyền OT 01 hoạt động dữ liệu nền hợp lệ.</t>
        </is>
      </c>
      <c r="I84" s="23" t="inlineStr">
        <is>
          <t>1. 'Sao chép' → 'Tải lên' file &gt;100 code
2. 'Xác nhận'</t>
        </is>
      </c>
      <c r="J84" s="23" t="inlineStr">
        <is>
          <t>(i) Logic: &gt;100 code phí → xử lý trong giới hạn; hiển thị tiến trình nếu có
(ii) UI: Không treo UI
(iii) Trạng thái/Audit log: Bản ghi lưu ở trạng thái 'Chờ duyệt' tại màn hình Tác vụ chờ duyệt. Hệ thống tự động điền Ngày tạo
(thực tế) và Người tạo (Username Maker).</t>
        </is>
      </c>
      <c r="K84" s="23" t="inlineStr">
        <is>
          <t>II.5.1.3.3.b; II.5.1.3.3.c</t>
        </is>
      </c>
      <c r="L84" s="23" t="inlineStr">
        <is>
          <t>FLOW.02</t>
        </is>
      </c>
      <c r="M84" s="23" t="inlineStr">
        <is>
          <t>FLOW.02-12</t>
        </is>
      </c>
      <c r="N84" s="23" t="n"/>
      <c r="O84" s="23" t="n"/>
      <c r="P84" s="23" t="n"/>
      <c r="Q84" s="23" t="n"/>
      <c r="R84" s="23" t="n"/>
      <c r="S84" s="23" t="n"/>
      <c r="T84" s="23" t="n"/>
      <c r="U84" s="23">
        <f>IF(R84&lt;&gt;"", R84, O84)</f>
        <v/>
      </c>
    </row>
    <row r="85" ht="15.75" customHeight="1" s="17">
      <c r="A85" s="23" t="inlineStr">
        <is>
          <t>PR03-FLOW-02-013</t>
        </is>
      </c>
      <c r="B85" s="23" t="inlineStr">
        <is>
          <t>PR03</t>
        </is>
      </c>
      <c r="C85" s="23" t="inlineStr">
        <is>
          <t>Sao chép biểu phí</t>
        </is>
      </c>
      <c r="D85" s="23" t="inlineStr">
        <is>
          <t>Sao chép – Không đổi Tên/Mã (trùng)</t>
        </is>
      </c>
      <c r="E85" s="23" t="inlineStr">
        <is>
          <t>Flow</t>
        </is>
      </c>
      <c r="F85" s="23" t="inlineStr">
        <is>
          <t>Regression</t>
        </is>
      </c>
      <c r="G85" s="23" t="inlineStr">
        <is>
          <t>P2</t>
        </is>
      </c>
      <c r="H85" s="23" t="inlineStr">
        <is>
          <t>1. Maker/Checker có quyền OT 01 hoạt động dữ liệu nền hợp lệ.</t>
        </is>
      </c>
      <c r="I85" s="23" t="inlineStr">
        <is>
          <t>1. 'Sao chép' nhưng không đổi Tên/Mã
2. 'Xác nhận'</t>
        </is>
      </c>
      <c r="J85" s="23" t="inlineStr">
        <is>
          <t>(i) Logic: Không đổi Tên/Mã → chặn do trùng
(ii) UI: Không sinh OT.01
(iii) Trạng thái/Audit log: Bản ghi lưu ở trạng thái 'Chờ duyệt' tại màn hình Tác vụ chờ duyệt. Hệ thống tự động điền Ngày tạo
(thực tế) và Người tạo (Username Maker).</t>
        </is>
      </c>
      <c r="K85" s="23" t="inlineStr">
        <is>
          <t>II.5.1.3.3.b; II.5.1.3.3.c</t>
        </is>
      </c>
      <c r="L85" s="23" t="inlineStr">
        <is>
          <t>FLOW.02</t>
        </is>
      </c>
      <c r="M85" s="23" t="inlineStr">
        <is>
          <t>FLOW.02-13</t>
        </is>
      </c>
      <c r="N85" s="23" t="n"/>
      <c r="O85" s="23" t="n"/>
      <c r="P85" s="23" t="n"/>
      <c r="Q85" s="23" t="n"/>
      <c r="R85" s="23" t="n"/>
      <c r="S85" s="23" t="n"/>
      <c r="T85" s="23" t="n"/>
      <c r="U85" s="23">
        <f>IF(R85&lt;&gt;"", R85, O85)</f>
        <v/>
      </c>
    </row>
    <row r="86" ht="15.75" customHeight="1" s="17">
      <c r="A86" s="23" t="inlineStr">
        <is>
          <t>PR03-FLOW-02-014</t>
        </is>
      </c>
      <c r="B86" s="23" t="inlineStr">
        <is>
          <t>PR03</t>
        </is>
      </c>
      <c r="C86" s="23" t="inlineStr">
        <is>
          <t>Sao chép biểu phí</t>
        </is>
      </c>
      <c r="D86" s="23" t="inlineStr">
        <is>
          <t>Sao chép – Sau duyệt hiển thị đúng</t>
        </is>
      </c>
      <c r="E86" s="23" t="inlineStr">
        <is>
          <t>Flow</t>
        </is>
      </c>
      <c r="F86" s="23" t="inlineStr">
        <is>
          <t>Regression</t>
        </is>
      </c>
      <c r="G86" s="23" t="inlineStr">
        <is>
          <t>P1</t>
        </is>
      </c>
      <c r="H86" s="23" t="inlineStr">
        <is>
          <t>1. Maker/Checker có quyền OT 01 hoạt động dữ liệu nền hợp lệ.</t>
        </is>
      </c>
      <c r="I86" s="23" t="inlineStr">
        <is>
          <t>1. Sao chép hợp lệ
2. Checker duyệt
3. Kiểm tra hiển thị</t>
        </is>
      </c>
      <c r="J86" s="23" t="inlineStr">
        <is>
          <t>(i) Logic: Checker duyệt → biểu phí mới hiển thị đầy đủ trên lưới
(ii) UI: Audit CREATE/APPROVE
(iii) Trạng thái/Audit log: Bản ghi lưu ở trạng thái 'Chờ duyệt' tại màn hình Tác vụ chờ duyệt. Hệ thống tự động điền Ngày tạo
(thực tế) và Người tạo (Username Maker).</t>
        </is>
      </c>
      <c r="K86" s="23" t="inlineStr">
        <is>
          <t>II.5.1.3.3.b; II.5.1.3.3.c</t>
        </is>
      </c>
      <c r="L86" s="23" t="inlineStr">
        <is>
          <t>FLOW.02</t>
        </is>
      </c>
      <c r="M86" s="23" t="inlineStr">
        <is>
          <t>FLOW.02-14</t>
        </is>
      </c>
      <c r="N86" s="23" t="n"/>
      <c r="O86" s="23" t="n"/>
      <c r="P86" s="23" t="n"/>
      <c r="Q86" s="23" t="n"/>
      <c r="R86" s="23" t="n"/>
      <c r="S86" s="23" t="n"/>
      <c r="T86" s="23" t="n"/>
      <c r="U86" s="23">
        <f>IF(R86&lt;&gt;"", R86, O86)</f>
        <v/>
      </c>
    </row>
    <row r="87" ht="15.75" customHeight="1" s="17">
      <c r="A87" s="23" t="inlineStr">
        <is>
          <t>PR03-FLOW-02-015</t>
        </is>
      </c>
      <c r="B87" s="23" t="inlineStr">
        <is>
          <t>PR03</t>
        </is>
      </c>
      <c r="C87" s="23" t="inlineStr">
        <is>
          <t>Sao chép biểu phí</t>
        </is>
      </c>
      <c r="D87" s="23" t="inlineStr">
        <is>
          <t>Sao chép – Kiểm tra lưới sau duyệt</t>
        </is>
      </c>
      <c r="E87" s="23" t="inlineStr">
        <is>
          <t>Flow</t>
        </is>
      </c>
      <c r="F87" s="23" t="inlineStr">
        <is>
          <t>Regression</t>
        </is>
      </c>
      <c r="G87" s="23" t="inlineStr">
        <is>
          <t>P2</t>
        </is>
      </c>
      <c r="H87" s="23" t="inlineStr">
        <is>
          <t>1. Maker/Checker có quyền OT 01 hoạt động dữ liệu nền hợp lệ.</t>
        </is>
      </c>
      <c r="I87" s="23" t="inlineStr">
        <is>
          <t>1. Mở lưới
2. Tìm kiếm bản ghi mới sau duyệt</t>
        </is>
      </c>
      <c r="J87" s="23" t="inlineStr">
        <is>
          <t>(i) Logic: Tìm kiếm/lọc tìm thấy bản ghi mới sau duyệt
(ii) UI: Dữ liệu hiển thị đúng
(iii) Trạng thái/Audit log: Bản ghi lưu ở trạng thái 'Chờ duyệt' tại màn hình Tác vụ chờ duyệt. Hệ thống tự động điền Ngày tạo
(thực tế) và Người tạo (Username Maker).</t>
        </is>
      </c>
      <c r="K87" s="23" t="inlineStr">
        <is>
          <t>II.5.1.3.3.b; II.5.1.3.3.c</t>
        </is>
      </c>
      <c r="L87" s="23" t="inlineStr">
        <is>
          <t>FLOW.02</t>
        </is>
      </c>
      <c r="M87" s="23" t="inlineStr">
        <is>
          <t>FLOW.02-15</t>
        </is>
      </c>
      <c r="N87" s="23" t="n"/>
      <c r="O87" s="23" t="n"/>
      <c r="P87" s="23" t="n"/>
      <c r="Q87" s="23" t="n"/>
      <c r="R87" s="23" t="n"/>
      <c r="S87" s="23" t="n"/>
      <c r="T87" s="23" t="n"/>
      <c r="U87" s="23">
        <f>IF(R87&lt;&gt;"", R87, O87)</f>
        <v/>
      </c>
    </row>
    <row r="88" ht="15.75" customHeight="1" s="17">
      <c r="A88" s="23" t="inlineStr">
        <is>
          <t>PR03-FLOW-03-001</t>
        </is>
      </c>
      <c r="B88" s="23" t="inlineStr">
        <is>
          <t>PR03</t>
        </is>
      </c>
      <c r="C88" s="23" t="inlineStr">
        <is>
          <t>Chuyển đổi code phí giữa các biểu phí</t>
        </is>
      </c>
      <c r="D88" s="23" t="inlineStr">
        <is>
          <t>Chuyển đổi – Luồng chuẩn Maker→OT.01→Checker</t>
        </is>
      </c>
      <c r="E88" s="23" t="inlineStr">
        <is>
          <t>Flow</t>
        </is>
      </c>
      <c r="F88" s="23" t="inlineStr">
        <is>
          <t>Smoke</t>
        </is>
      </c>
      <c r="G88" s="23" t="inlineStr">
        <is>
          <t>P1</t>
        </is>
      </c>
      <c r="H88" s="23" t="inlineStr">
        <is>
          <t>1. Maker/Checker có quyền OT 01 hoạt động dữ liệu nền hợp lệ.</t>
        </is>
      </c>
      <c r="I88" s="23" t="inlineStr">
        <is>
          <t>1. 'Sửa' → tick code phí
2. 'Chuyển đổi Biểu phí' → chọn Biểu phí mới
3. 'Xác nhận'
4. Checker duyệt</t>
        </is>
      </c>
      <c r="J88" s="23" t="inlineStr">
        <is>
          <t>(i) Logic: Sinh yêu cầu chuyển đổi 'Chờ duyệt'; OT.01 loại 'Chuyển đổi'
(ii) UI: Sau duyệt: code phí biến mất khỏi biểu phí cũ và xuất hiện ở biểu phí mới
(iii) Trạng thái/Audit log: Bản ghi lưu ở trạng thái 'Chờ duyệt' tại màn hình Tác vụ chờ duyệt. Hệ thống tự động điền Ngày tạo
(thực tế) và Người tạo (Username Maker).</t>
        </is>
      </c>
      <c r="K88" s="23" t="inlineStr">
        <is>
          <t>II.5.1.3.4.b; II.5.1.3.4.c</t>
        </is>
      </c>
      <c r="L88" s="23" t="inlineStr">
        <is>
          <t>FLOW.03</t>
        </is>
      </c>
      <c r="M88" s="23" t="inlineStr">
        <is>
          <t>FLOW.03-01</t>
        </is>
      </c>
      <c r="N88" s="23" t="n"/>
      <c r="O88" s="23" t="n"/>
      <c r="P88" s="23" t="n"/>
      <c r="Q88" s="23" t="n"/>
      <c r="R88" s="23" t="n"/>
      <c r="S88" s="23" t="n"/>
      <c r="T88" s="23" t="n"/>
      <c r="U88" s="23">
        <f>IF(R88&lt;&gt;"", R88, O88)</f>
        <v/>
      </c>
    </row>
    <row r="89" ht="15.75" customHeight="1" s="17">
      <c r="A89" s="23" t="inlineStr">
        <is>
          <t>PR03-FLOW-03-002</t>
        </is>
      </c>
      <c r="B89" s="23" t="inlineStr">
        <is>
          <t>PR03</t>
        </is>
      </c>
      <c r="C89" s="23" t="inlineStr">
        <is>
          <t>Chuyển đổi code phí giữa các biểu phí</t>
        </is>
      </c>
      <c r="D89" s="23" t="inlineStr">
        <is>
          <t>Kiểm tra nút Đóng: Đảm bảo không lưu dữ liệu và thoát form</t>
        </is>
      </c>
      <c r="E89" s="23" t="inlineStr">
        <is>
          <t>Flow</t>
        </is>
      </c>
      <c r="F89" s="23" t="inlineStr">
        <is>
          <t>Regression</t>
        </is>
      </c>
      <c r="G89" s="23" t="inlineStr">
        <is>
          <t>P2</t>
        </is>
      </c>
      <c r="H89" s="23" t="inlineStr">
        <is>
          <t>1. Maker/Checker có quyền OT 01 hoạt động dữ liệu nền hợp lệ.</t>
        </is>
      </c>
      <c r="I89" s="23" t="inlineStr">
        <is>
          <t>1. 'Sửa' → 'Chuyển đổi Biểu phí'
2. Trên popup nhấn 'Huỷ/Đóng'</t>
        </is>
      </c>
      <c r="J89" s="23" t="inlineStr">
        <is>
          <t>(i) Nghiệp vụ/Logic: Hệ thống không lưu thông tin đã nhập.
(ii) UI: Đóng form quay về màn trước.
(iii) Trạng thái: Không tạo bản ghi chờ duyệt.</t>
        </is>
      </c>
      <c r="K89" s="23" t="inlineStr">
        <is>
          <t>II.5.1.3.4.b; II.5.1.3.4.c</t>
        </is>
      </c>
      <c r="L89" s="23" t="inlineStr">
        <is>
          <t>FLOW.03</t>
        </is>
      </c>
      <c r="M89" s="23" t="inlineStr">
        <is>
          <t>FLOW.03-02</t>
        </is>
      </c>
      <c r="N89" s="23" t="n"/>
      <c r="O89" s="23" t="n"/>
      <c r="P89" s="23" t="n"/>
      <c r="Q89" s="23" t="n"/>
      <c r="R89" s="23" t="n"/>
      <c r="S89" s="23" t="n"/>
      <c r="T89" s="23" t="n"/>
      <c r="U89" s="23">
        <f>IF(R89&lt;&gt;"", R89, O89)</f>
        <v/>
      </c>
    </row>
    <row r="90" ht="15.75" customHeight="1" s="17">
      <c r="A90" s="23" t="inlineStr">
        <is>
          <t>PR03-FLOW-03-003</t>
        </is>
      </c>
      <c r="B90" s="23" t="inlineStr">
        <is>
          <t>PR03</t>
        </is>
      </c>
      <c r="C90" s="23" t="inlineStr">
        <is>
          <t>Chuyển đổi code phí giữa các biểu phí</t>
        </is>
      </c>
      <c r="D90" s="23" t="inlineStr">
        <is>
          <t>Chuyển đổi – Checker Reject</t>
        </is>
      </c>
      <c r="E90" s="23" t="inlineStr">
        <is>
          <t>Flow</t>
        </is>
      </c>
      <c r="F90" s="23" t="inlineStr">
        <is>
          <t>Smoke</t>
        </is>
      </c>
      <c r="G90" s="23" t="inlineStr">
        <is>
          <t>P1</t>
        </is>
      </c>
      <c r="H90" s="23" t="inlineStr">
        <is>
          <t>1. Maker/Checker có quyền OT 01 hoạt động dữ liệu nền hợp lệ.</t>
        </is>
      </c>
      <c r="I90" s="23" t="inlineStr">
        <is>
          <t>1. Maker gửi yêu cầu chuyển đổi
2. Checker 'Từ chối'</t>
        </is>
      </c>
      <c r="J90" s="23" t="inlineStr">
        <is>
          <t>(i) Logic: Checker từ chối → trạng thái 'Từ chối' kèm lý do
(ii) UI: Không thay đổi 2 biểu phí
(iii) Trạng thái/Audit log: Bản ghi lưu ở trạng thái 'Chờ duyệt' tại màn hình Tác vụ chờ duyệt. Hệ thống tự động điền Ngày tạo
(thực tế) và Người tạo (Username Maker).</t>
        </is>
      </c>
      <c r="K90" s="23" t="inlineStr">
        <is>
          <t>II.5.1.3.4.b; II.5.1.3.4.c</t>
        </is>
      </c>
      <c r="L90" s="23" t="inlineStr">
        <is>
          <t>FLOW.03</t>
        </is>
      </c>
      <c r="M90" s="23" t="inlineStr">
        <is>
          <t>FLOW.03-03</t>
        </is>
      </c>
      <c r="N90" s="23" t="n"/>
      <c r="O90" s="23" t="n"/>
      <c r="P90" s="23" t="n"/>
      <c r="Q90" s="23" t="n"/>
      <c r="R90" s="23" t="n"/>
      <c r="S90" s="23" t="n"/>
      <c r="T90" s="23" t="n"/>
      <c r="U90" s="23">
        <f>IF(R90&lt;&gt;"", R90, O90)</f>
        <v/>
      </c>
    </row>
    <row r="91" ht="15.75" customHeight="1" s="17">
      <c r="A91" s="23" t="inlineStr">
        <is>
          <t>PR03-FLOW-03-004</t>
        </is>
      </c>
      <c r="B91" s="23" t="inlineStr">
        <is>
          <t>PR03</t>
        </is>
      </c>
      <c r="C91" s="23" t="inlineStr">
        <is>
          <t>Chuyển đổi code phí giữa các biểu phí</t>
        </is>
      </c>
      <c r="D91" s="23" t="inlineStr">
        <is>
          <t>Chuyển đổi – Maker điều chỉnh &amp; gửi lại</t>
        </is>
      </c>
      <c r="E91" s="23" t="inlineStr">
        <is>
          <t>Flow</t>
        </is>
      </c>
      <c r="F91" s="23" t="inlineStr">
        <is>
          <t>Regression</t>
        </is>
      </c>
      <c r="G91" s="23" t="inlineStr">
        <is>
          <t>P2</t>
        </is>
      </c>
      <c r="H91" s="23" t="inlineStr">
        <is>
          <t>1. Maker/Checker có quyền OT 01 hoạt động dữ liệu nền hợp lệ.</t>
        </is>
      </c>
      <c r="I91" s="23" t="inlineStr">
        <is>
          <t>1. Maker điều chỉnh &amp; gửi lại
2. Checker duyệt</t>
        </is>
      </c>
      <c r="J91" s="23" t="inlineStr">
        <is>
          <t>(i) Logic: Maker điều chỉnh &amp; gửi lại → cập nhật OT.01
(ii) UI: Sau duyệt → dữ liệu cập nhật đúng
(biểu phí cũ giảm, mới tăng)
(iii) Trạng thái/Audit log: Bản ghi lưu ở trạng thái 'Chờ duyệt' tại màn hình Tác vụ chờ duyệt. Hệ thống tự động điền Ngày tạo
(thực tế) và Người tạo (Username Maker).</t>
        </is>
      </c>
      <c r="K91" s="23" t="inlineStr">
        <is>
          <t>II.5.1.3.4.b; II.5.1.3.4.c</t>
        </is>
      </c>
      <c r="L91" s="23" t="inlineStr">
        <is>
          <t>FLOW.03</t>
        </is>
      </c>
      <c r="M91" s="23" t="inlineStr">
        <is>
          <t>FLOW.03-04</t>
        </is>
      </c>
      <c r="N91" s="23" t="n"/>
      <c r="O91" s="23" t="n"/>
      <c r="P91" s="23" t="n"/>
      <c r="Q91" s="23" t="n"/>
      <c r="R91" s="23" t="n"/>
      <c r="S91" s="23" t="n"/>
      <c r="T91" s="23" t="n"/>
      <c r="U91" s="23">
        <f>IF(R91&lt;&gt;"", R91, O91)</f>
        <v/>
      </c>
    </row>
    <row r="92" ht="15.75" customHeight="1" s="17">
      <c r="A92" s="23" t="inlineStr">
        <is>
          <t>PR03-FLOW-03-005</t>
        </is>
      </c>
      <c r="B92" s="23" t="inlineStr">
        <is>
          <t>PR03</t>
        </is>
      </c>
      <c r="C92" s="23" t="inlineStr">
        <is>
          <t>Chuyển đổi code phí giữa các biểu phí</t>
        </is>
      </c>
      <c r="D92" s="23" t="inlineStr">
        <is>
          <t>Chuyển đổi – Chọn biểu phí mới trùng</t>
        </is>
      </c>
      <c r="E92" s="23" t="inlineStr">
        <is>
          <t>Flow</t>
        </is>
      </c>
      <c r="F92" s="23" t="inlineStr">
        <is>
          <t>Regression</t>
        </is>
      </c>
      <c r="G92" s="23" t="inlineStr">
        <is>
          <t>P2</t>
        </is>
      </c>
      <c r="H92" s="23" t="inlineStr">
        <is>
          <t>1. Maker/Checker có quyền OT 01 hoạt động dữ liệu nền hợp lệ.</t>
        </is>
      </c>
      <c r="I92" s="23" t="inlineStr">
        <is>
          <t>1. Trên popup, chọn Biểu phí mới trùng hiện tại
2. 'Xác nhận'</t>
        </is>
      </c>
      <c r="J92" s="23" t="inlineStr">
        <is>
          <t>(i) Logic: Chọn biểu phí mới trùng → chặn; hiển thị thông báo rõ ràng
(ii) UI: Không OT.01
(iii) Trạng thái/Audit log: Bản ghi lưu ở trạng thái 'Chờ duyệt' tại màn hình Tác vụ chờ duyệt. Hệ thống tự động điền Ngày tạo
(thực tế) và Người tạo (Username Maker).</t>
        </is>
      </c>
      <c r="K92" s="23" t="inlineStr">
        <is>
          <t>II.5.1.3.4.b; II.5.1.3.4.c</t>
        </is>
      </c>
      <c r="L92" s="23" t="inlineStr">
        <is>
          <t>FLOW.03</t>
        </is>
      </c>
      <c r="M92" s="23" t="inlineStr">
        <is>
          <t>FLOW.03-05</t>
        </is>
      </c>
      <c r="N92" s="23" t="n"/>
      <c r="O92" s="23" t="n"/>
      <c r="P92" s="23" t="n"/>
      <c r="Q92" s="23" t="n"/>
      <c r="R92" s="23" t="n"/>
      <c r="S92" s="23" t="n"/>
      <c r="T92" s="23" t="n"/>
      <c r="U92" s="23">
        <f>IF(R92&lt;&gt;"", R92, O92)</f>
        <v/>
      </c>
    </row>
    <row r="93" ht="15.75" customHeight="1" s="17">
      <c r="A93" s="23" t="inlineStr">
        <is>
          <t>PR03-FLOW-03-006</t>
        </is>
      </c>
      <c r="B93" s="23" t="inlineStr">
        <is>
          <t>PR03</t>
        </is>
      </c>
      <c r="C93" s="23" t="inlineStr">
        <is>
          <t>Chuyển đổi code phí giữa các biểu phí</t>
        </is>
      </c>
      <c r="D93" s="23" t="inlineStr">
        <is>
          <t>Chuyển đổi – Biểu phí mới không có SPDV phù hợp</t>
        </is>
      </c>
      <c r="E93" s="23" t="inlineStr">
        <is>
          <t>Flow</t>
        </is>
      </c>
      <c r="F93" s="23" t="inlineStr">
        <is>
          <t>Regression</t>
        </is>
      </c>
      <c r="G93" s="23" t="inlineStr">
        <is>
          <t>P2</t>
        </is>
      </c>
      <c r="H93" s="23" t="inlineStr">
        <is>
          <t>1. Maker/Checker có quyền OT 01 hoạt động dữ liệu nền hợp lệ.</t>
        </is>
      </c>
      <c r="I93" s="23" t="inlineStr">
        <is>
          <t>1. Trên popup, chọn Biểu phí mới không có SPDV phù hợp
2. 'Xác nhận'</t>
        </is>
      </c>
      <c r="J93" s="23" t="inlineStr">
        <is>
          <t>(i) Logic: Biểu phí mới không có SPDV phù hợp → chặn; liệt kê code phí không phù hợp
(ii) UI: Không OT.01
(iii) Trạng thái/Audit log: Bản ghi lưu ở trạng thái 'Chờ duyệt' tại màn hình Tác vụ chờ duyệt. Hệ thống tự động điền Ngày tạo
(thực tế) và Người tạo (Username Maker).</t>
        </is>
      </c>
      <c r="K93" s="23" t="inlineStr">
        <is>
          <t>II.5.1.3.4.b; II.5.1.3.4.c</t>
        </is>
      </c>
      <c r="L93" s="23" t="inlineStr">
        <is>
          <t>FLOW.03</t>
        </is>
      </c>
      <c r="M93" s="23" t="inlineStr">
        <is>
          <t>FLOW.03-06</t>
        </is>
      </c>
      <c r="N93" s="23" t="n"/>
      <c r="O93" s="23" t="n"/>
      <c r="P93" s="23" t="n"/>
      <c r="Q93" s="23" t="n"/>
      <c r="R93" s="23" t="n"/>
      <c r="S93" s="23" t="n"/>
      <c r="T93" s="23" t="n"/>
      <c r="U93" s="23">
        <f>IF(R93&lt;&gt;"", R93, O93)</f>
        <v/>
      </c>
    </row>
    <row r="94" ht="15.75" customHeight="1" s="17">
      <c r="A94" s="23" t="inlineStr">
        <is>
          <t>PR03-FLOW-03-007</t>
        </is>
      </c>
      <c r="B94" s="23" t="inlineStr">
        <is>
          <t>PR03</t>
        </is>
      </c>
      <c r="C94" s="23" t="inlineStr">
        <is>
          <t>Chuyển đổi code phí giữa các biểu phí</t>
        </is>
      </c>
      <c r="D94" s="23" t="inlineStr">
        <is>
          <t>Chuyển đổi – Bulk 5–10 code phí</t>
        </is>
      </c>
      <c r="E94" s="23" t="inlineStr">
        <is>
          <t>Flow</t>
        </is>
      </c>
      <c r="F94" s="23" t="inlineStr">
        <is>
          <t>Regression</t>
        </is>
      </c>
      <c r="G94" s="23" t="inlineStr">
        <is>
          <t>P2</t>
        </is>
      </c>
      <c r="H94" s="23" t="inlineStr">
        <is>
          <t>1. Maker/Checker có quyền OT 01 hoạt động dữ liệu nền hợp lệ.</t>
        </is>
      </c>
      <c r="I94" s="23" t="inlineStr">
        <is>
          <t>1. Tick 5–10 code
2. Chuyển đổi sang Biểu phí mới
3. 'Xác nhận'</t>
        </is>
      </c>
      <c r="J94" s="23" t="inlineStr">
        <is>
          <t>(i) Logic: Chuyển 5–10 code cùng lúc → cập nhật đầy đủ, không bỏ sót
(ii) UI: Nếu lỗi 1 phần → hiển thị chi tiết
(iii) Trạng thái/Audit log: Bản ghi lưu ở trạng thái 'Chờ duyệt' tại màn hình Tác vụ chờ duyệt. Hệ thống tự động điền Ngày tạo
(thực tế) và Người tạo (Username Maker).</t>
        </is>
      </c>
      <c r="K94" s="23" t="inlineStr">
        <is>
          <t>II.5.1.3.4.b; II.5.1.3.4.c</t>
        </is>
      </c>
      <c r="L94" s="23" t="inlineStr">
        <is>
          <t>FLOW.03</t>
        </is>
      </c>
      <c r="M94" s="23" t="inlineStr">
        <is>
          <t>FLOW.03-07</t>
        </is>
      </c>
      <c r="N94" s="23" t="n"/>
      <c r="O94" s="23" t="n"/>
      <c r="P94" s="23" t="n"/>
      <c r="Q94" s="23" t="n"/>
      <c r="R94" s="23" t="n"/>
      <c r="S94" s="23" t="n"/>
      <c r="T94" s="23" t="n"/>
      <c r="U94" s="23">
        <f>IF(R94&lt;&gt;"", R94, O94)</f>
        <v/>
      </c>
    </row>
    <row r="95" ht="15.75" customHeight="1" s="17">
      <c r="A95" s="23" t="inlineStr">
        <is>
          <t>PR03-FLOW-03-008</t>
        </is>
      </c>
      <c r="B95" s="23" t="inlineStr">
        <is>
          <t>PR03</t>
        </is>
      </c>
      <c r="C95" s="23" t="inlineStr">
        <is>
          <t>Chuyển đổi code phí giữa các biểu phí</t>
        </is>
      </c>
      <c r="D95" s="23" t="inlineStr">
        <is>
          <t>Chuyển đổi – Code phí đã hết hiệu lực</t>
        </is>
      </c>
      <c r="E95" s="23" t="inlineStr">
        <is>
          <t>Flow</t>
        </is>
      </c>
      <c r="F95" s="23" t="inlineStr">
        <is>
          <t>Regression</t>
        </is>
      </c>
      <c r="G95" s="23" t="inlineStr">
        <is>
          <t>P2</t>
        </is>
      </c>
      <c r="H95" s="23" t="inlineStr">
        <is>
          <t>1. Maker/Checker có quyền OT 01 hoạt động dữ liệu nền hợp lệ.</t>
        </is>
      </c>
      <c r="I95" s="23" t="inlineStr">
        <is>
          <t>1. Tick code đã hết hiệu lực
2. Thực hiện chuyển đổi
3. 'Xác nhận'</t>
        </is>
      </c>
      <c r="J95" s="23" t="inlineStr">
        <is>
          <t>(i) Logic: Code phí hết hiệu lực → chặn với thông báo rõ
(ii) UI: Không OT.01
(iii) Trạng thái/Audit log: Bản ghi lưu ở trạng thái 'Chờ duyệt' tại màn hình Tác vụ chờ duyệt. Hệ thống tự động điền Ngày tạo
(thực tế) và Người tạo (Username Maker).</t>
        </is>
      </c>
      <c r="K95" s="23" t="inlineStr">
        <is>
          <t>II.5.1.3.4.b; II.5.1.3.4.c</t>
        </is>
      </c>
      <c r="L95" s="23" t="inlineStr">
        <is>
          <t>FLOW.03</t>
        </is>
      </c>
      <c r="M95" s="23" t="inlineStr">
        <is>
          <t>FLOW.03-08</t>
        </is>
      </c>
      <c r="N95" s="23" t="n"/>
      <c r="O95" s="23" t="n"/>
      <c r="P95" s="23" t="n"/>
      <c r="Q95" s="23" t="n"/>
      <c r="R95" s="23" t="n"/>
      <c r="S95" s="23" t="n"/>
      <c r="T95" s="23" t="n"/>
      <c r="U95" s="23">
        <f>IF(R95&lt;&gt;"", R95, O95)</f>
        <v/>
      </c>
    </row>
    <row r="96" ht="15.75" customHeight="1" s="17">
      <c r="A96" s="23" t="inlineStr">
        <is>
          <t>PR03-FLOW-03-009</t>
        </is>
      </c>
      <c r="B96" s="23" t="inlineStr">
        <is>
          <t>PR03</t>
        </is>
      </c>
      <c r="C96" s="23" t="inlineStr">
        <is>
          <t>Chuyển đổi code phí giữa các biểu phí</t>
        </is>
      </c>
      <c r="D96" s="23" t="inlineStr">
        <is>
          <t>Chuyển đổi – OT.01 xử lý chậm</t>
        </is>
      </c>
      <c r="E96" s="23" t="inlineStr">
        <is>
          <t>Flow</t>
        </is>
      </c>
      <c r="F96" s="23" t="inlineStr">
        <is>
          <t>Regression</t>
        </is>
      </c>
      <c r="G96" s="23" t="inlineStr">
        <is>
          <t>P2</t>
        </is>
      </c>
      <c r="H96" s="23" t="inlineStr">
        <is>
          <t>1. Maker/Checker có quyền OT 01 hoạt động dữ liệu nền hợp lệ.</t>
        </is>
      </c>
      <c r="I96" s="23" t="inlineStr">
        <is>
          <t>1. Gửi yêu cầu chuyển đổi
2. Để OT.01 xử lý chậm</t>
        </is>
      </c>
      <c r="J96" s="23" t="inlineStr">
        <is>
          <t>(i) Logic: OT.01 xử lý chậm → trạng thái pending/đang xử lý
(ii) UI: Cho phép nhắc/gửi lại
(iii) Trạng thái/Audit log: Bản ghi lưu ở trạng thái 'Chờ duyệt' tại màn hình Tác vụ chờ duyệt. Hệ thống tự động điền Ngày tạo
(thực tế) và Người tạo (Username Maker).</t>
        </is>
      </c>
      <c r="K96" s="23" t="inlineStr">
        <is>
          <t>II.5.1.3.4.b; II.5.1.3.4.c</t>
        </is>
      </c>
      <c r="L96" s="23" t="inlineStr">
        <is>
          <t>FLOW.03</t>
        </is>
      </c>
      <c r="M96" s="23" t="inlineStr">
        <is>
          <t>FLOW.03-09</t>
        </is>
      </c>
      <c r="N96" s="23" t="n"/>
      <c r="O96" s="23" t="n"/>
      <c r="P96" s="23" t="n"/>
      <c r="Q96" s="23" t="n"/>
      <c r="R96" s="23" t="n"/>
      <c r="S96" s="23" t="n"/>
      <c r="T96" s="23" t="n"/>
      <c r="U96" s="23">
        <f>IF(R96&lt;&gt;"", R96, O96)</f>
        <v/>
      </c>
    </row>
    <row r="97" ht="15.75" customHeight="1" s="17">
      <c r="A97" s="23" t="inlineStr">
        <is>
          <t>PR03-FLOW-03-010</t>
        </is>
      </c>
      <c r="B97" s="23" t="inlineStr">
        <is>
          <t>PR03</t>
        </is>
      </c>
      <c r="C97" s="23" t="inlineStr">
        <is>
          <t>Chuyển đổi code phí giữa các biểu phí</t>
        </is>
      </c>
      <c r="D97" s="23" t="inlineStr">
        <is>
          <t>Chuyển đổi – Refresh ở bước xác nhận</t>
        </is>
      </c>
      <c r="E97" s="23" t="inlineStr">
        <is>
          <t>Flow</t>
        </is>
      </c>
      <c r="F97" s="23" t="inlineStr">
        <is>
          <t>Regression</t>
        </is>
      </c>
      <c r="G97" s="23" t="inlineStr">
        <is>
          <t>P2</t>
        </is>
      </c>
      <c r="H97" s="23" t="inlineStr">
        <is>
          <t>1. Maker/Checker có quyền OT 01 hoạt động dữ liệu nền hợp lệ.</t>
        </is>
      </c>
      <c r="I97" s="23" t="inlineStr">
        <is>
          <t>1. Ở bước xác nhận chuyển đổi → Refresh</t>
        </is>
      </c>
      <c r="J97" s="23" t="inlineStr">
        <is>
          <t>(i) Logic: Refresh ở bước xác nhận → không tạo bản ghi khi chưa xác nhận
(ii) UI: UI theo thiết kế
(iii) Trạng thái/Audit log: Bản ghi lưu ở trạng thái 'Chờ duyệt' tại màn hình Tác vụ chờ duyệt. Hệ thống tự động điền Ngày tạo
(thực tế) và Người tạo (Username Maker).</t>
        </is>
      </c>
      <c r="K97" s="23" t="inlineStr">
        <is>
          <t>II.5.1.3.4.b; II.5.1.3.4.c</t>
        </is>
      </c>
      <c r="L97" s="23" t="inlineStr">
        <is>
          <t>FLOW.03</t>
        </is>
      </c>
      <c r="M97" s="23" t="inlineStr">
        <is>
          <t>FLOW.03-10</t>
        </is>
      </c>
      <c r="N97" s="23" t="n"/>
      <c r="O97" s="23" t="n"/>
      <c r="P97" s="23" t="n"/>
      <c r="Q97" s="23" t="n"/>
      <c r="R97" s="23" t="n"/>
      <c r="S97" s="23" t="n"/>
      <c r="T97" s="23" t="n"/>
      <c r="U97" s="23">
        <f>IF(R97&lt;&gt;"", R97, O97)</f>
        <v/>
      </c>
    </row>
    <row r="98" ht="15.75" customHeight="1" s="17">
      <c r="A98" s="23" t="inlineStr">
        <is>
          <t>PR03-FLOW-03-011</t>
        </is>
      </c>
      <c r="B98" s="23" t="inlineStr">
        <is>
          <t>PR03</t>
        </is>
      </c>
      <c r="C98" s="23" t="inlineStr">
        <is>
          <t>Chuyển đổi code phí giữa các biểu phí</t>
        </is>
      </c>
      <c r="D98" s="23" t="inlineStr">
        <is>
          <t>Chuyển đổi – Back làm mất lựa chọn</t>
        </is>
      </c>
      <c r="E98" s="23" t="inlineStr">
        <is>
          <t>Flow</t>
        </is>
      </c>
      <c r="F98" s="23" t="inlineStr">
        <is>
          <t>Regression</t>
        </is>
      </c>
      <c r="G98" s="23" t="inlineStr">
        <is>
          <t>P2</t>
        </is>
      </c>
      <c r="H98" s="23" t="inlineStr">
        <is>
          <t>1. Maker/Checker có quyền OT 01 hoạt động dữ liệu nền hợp lệ.</t>
        </is>
      </c>
      <c r="I98" s="23" t="inlineStr">
        <is>
          <t>1. Ở bước chọn code → Back trình duyệt</t>
        </is>
      </c>
      <c r="J98" s="23" t="inlineStr">
        <is>
          <t>(i) Logic: Back làm mất lựa chọn → yêu cầu chọn lại
(ii) UI: Không dữ liệu tạm
(iii) Trạng thái/Audit log: Bản ghi lưu ở trạng thái 'Chờ duyệt' tại màn hình Tác vụ chờ duyệt. Hệ thống tự động điền Ngày tạo
(thực tế) và Người tạo (Username Maker).</t>
        </is>
      </c>
      <c r="K98" s="23" t="inlineStr">
        <is>
          <t>II.5.1.3.4.b; II.5.1.3.4.c</t>
        </is>
      </c>
      <c r="L98" s="23" t="inlineStr">
        <is>
          <t>FLOW.03</t>
        </is>
      </c>
      <c r="M98" s="23" t="inlineStr">
        <is>
          <t>FLOW.03-11</t>
        </is>
      </c>
      <c r="N98" s="23" t="n"/>
      <c r="O98" s="23" t="n"/>
      <c r="P98" s="23" t="n"/>
      <c r="Q98" s="23" t="n"/>
      <c r="R98" s="23" t="n"/>
      <c r="S98" s="23" t="n"/>
      <c r="T98" s="23" t="n"/>
      <c r="U98" s="23">
        <f>IF(R98&lt;&gt;"", R98, O98)</f>
        <v/>
      </c>
    </row>
    <row r="99" ht="15.75" customHeight="1" s="17">
      <c r="A99" s="23" t="inlineStr">
        <is>
          <t>PR03-FLOW-03-012</t>
        </is>
      </c>
      <c r="B99" s="23" t="inlineStr">
        <is>
          <t>PR03</t>
        </is>
      </c>
      <c r="C99" s="23" t="inlineStr">
        <is>
          <t>Chuyển đổi code phí giữa các biểu phí</t>
        </is>
      </c>
      <c r="D99" s="23" t="inlineStr">
        <is>
          <t>Chuyển đổi – Bulk 100 code phí (stress)</t>
        </is>
      </c>
      <c r="E99" s="23" t="inlineStr">
        <is>
          <t>Flow</t>
        </is>
      </c>
      <c r="F99" s="23" t="inlineStr">
        <is>
          <t>Regression</t>
        </is>
      </c>
      <c r="G99" s="23" t="inlineStr">
        <is>
          <t>P2</t>
        </is>
      </c>
      <c r="H99" s="23" t="inlineStr">
        <is>
          <t>1. Maker/Checker có quyền OT 01 hoạt động dữ liệu nền hợp lệ.</t>
        </is>
      </c>
      <c r="I99" s="23" t="inlineStr">
        <is>
          <t>1. Tick 100 code
2. Chuyển đổi
3. 'Xác nhận'</t>
        </is>
      </c>
      <c r="J99" s="23" t="inlineStr">
        <is>
          <t>(i) Logic: Bulk 100 code → xử lý trong giới hạn; có cảnh báo/queue nếu có
(ii) UI: Không treo UI
(iii) Trạng thái/Audit log: Bản ghi lưu ở trạng thái 'Chờ duyệt' tại màn hình Tác vụ chờ duyệt. Hệ thống tự động điền Ngày tạo
(thực tế) và Người tạo (Username Maker).</t>
        </is>
      </c>
      <c r="K99" s="23" t="inlineStr">
        <is>
          <t>II.5.1.3.4.b; II.5.1.3.4.c</t>
        </is>
      </c>
      <c r="L99" s="23" t="inlineStr">
        <is>
          <t>FLOW.03</t>
        </is>
      </c>
      <c r="M99" s="23" t="inlineStr">
        <is>
          <t>FLOW.03-12</t>
        </is>
      </c>
      <c r="N99" s="23" t="n"/>
      <c r="O99" s="23" t="n"/>
      <c r="P99" s="23" t="n"/>
      <c r="Q99" s="23" t="n"/>
      <c r="R99" s="23" t="n"/>
      <c r="S99" s="23" t="n"/>
      <c r="T99" s="23" t="n"/>
      <c r="U99" s="23">
        <f>IF(R99&lt;&gt;"", R99, O99)</f>
        <v/>
      </c>
    </row>
    <row r="100" ht="15.75" customHeight="1" s="17">
      <c r="A100" s="23" t="inlineStr">
        <is>
          <t>PR03-FLOW-03-013</t>
        </is>
      </c>
      <c r="B100" s="23" t="inlineStr">
        <is>
          <t>PR03</t>
        </is>
      </c>
      <c r="C100" s="23" t="inlineStr">
        <is>
          <t>Chuyển đổi code phí giữa các biểu phí</t>
        </is>
      </c>
      <c r="D100" s="23" t="inlineStr">
        <is>
          <t>Chuyển đổi – Sau duyệt: code phí ở biểu phí mới</t>
        </is>
      </c>
      <c r="E100" s="23" t="inlineStr">
        <is>
          <t>Flow</t>
        </is>
      </c>
      <c r="F100" s="23" t="inlineStr">
        <is>
          <t>Regression</t>
        </is>
      </c>
      <c r="G100" s="23" t="inlineStr">
        <is>
          <t>P2</t>
        </is>
      </c>
      <c r="H100" s="23" t="inlineStr">
        <is>
          <t>1. Maker/Checker có quyền OT 01 hoạt động dữ liệu nền hợp lệ.</t>
        </is>
      </c>
      <c r="I100" s="23" t="inlineStr">
        <is>
          <t>1. Thực hiện chuyển đổi hợp lệ
2. Checker duyệt
3. Đối chiếu lưới 2 biểu phí</t>
        </is>
      </c>
      <c r="J100" s="23" t="inlineStr">
        <is>
          <t>(i) Logic: Sau duyệt → lưới biểu phí mới hiển thị code phí vừa chuyển; biểu phí cũ không còn các code đó
(ii) UI: Không sai lệch
(iii) Trạng thái/Audit log: Bản ghi lưu ở trạng thái 'Chờ duyệt' tại màn hình Tác vụ chờ duyệt. Hệ thống tự động điền Ngày tạo
(thực tế) và Người tạo (Username Maker).</t>
        </is>
      </c>
      <c r="K100" s="23" t="inlineStr">
        <is>
          <t>II.5.1.3.4.b; II.5.1.3.4.c</t>
        </is>
      </c>
      <c r="L100" s="23" t="inlineStr">
        <is>
          <t>FLOW.03</t>
        </is>
      </c>
      <c r="M100" s="23" t="inlineStr">
        <is>
          <t>FLOW.03-13</t>
        </is>
      </c>
      <c r="N100" s="23" t="n"/>
      <c r="O100" s="23" t="n"/>
      <c r="P100" s="23" t="n"/>
      <c r="Q100" s="23" t="n"/>
      <c r="R100" s="23" t="n"/>
      <c r="S100" s="23" t="n"/>
      <c r="T100" s="23" t="n"/>
      <c r="U100" s="23">
        <f>IF(R100&lt;&gt;"", R100, O100)</f>
        <v/>
      </c>
    </row>
    <row r="101" ht="15.75" customHeight="1" s="17">
      <c r="A101" s="23" t="inlineStr">
        <is>
          <t>PR03-FLOW-03-014</t>
        </is>
      </c>
      <c r="B101" s="23" t="inlineStr">
        <is>
          <t>PR03</t>
        </is>
      </c>
      <c r="C101" s="23" t="inlineStr">
        <is>
          <t>Chuyển đổi code phí giữa các biểu phí</t>
        </is>
      </c>
      <c r="D101" s="23" t="inlineStr">
        <is>
          <t>Chuyển đổi – Checker reverse/undo (nếu có)</t>
        </is>
      </c>
      <c r="E101" s="23" t="inlineStr">
        <is>
          <t>Flow</t>
        </is>
      </c>
      <c r="F101" s="23" t="inlineStr">
        <is>
          <t>Regression</t>
        </is>
      </c>
      <c r="G101" s="23" t="inlineStr">
        <is>
          <t>P1</t>
        </is>
      </c>
      <c r="H101" s="23" t="inlineStr">
        <is>
          <t>1. Maker/Checker có quyền OT 01 hoạt động dữ liệu nền hợp lệ.</t>
        </is>
      </c>
      <c r="I101" s="23" t="inlineStr">
        <is>
          <t>1. Checker Reverse/Undo
(nếu hỗ trợ)
2. Kiểm tra dữ liệu</t>
        </is>
      </c>
      <c r="J101" s="23" t="inlineStr">
        <is>
          <t>(i) Logic: Reverse/Undo
(nếu hỗ trợ) → trả dữ liệu về trạng thái phù hợp
(ii) UI: Audit ghi thao tác Undo
(iii) Trạng thái/Audit log: Bản ghi lưu ở trạng thái 'Chờ duyệt' tại màn hình Tác vụ chờ duyệt. Hệ thống tự động điền Ngày tạo
(thực tế) và Người tạo (Username Maker).</t>
        </is>
      </c>
      <c r="K101" s="23" t="inlineStr">
        <is>
          <t>II.5.1.3.4.b; II.5.1.3.4.c</t>
        </is>
      </c>
      <c r="L101" s="23" t="inlineStr">
        <is>
          <t>FLOW.03</t>
        </is>
      </c>
      <c r="M101" s="23" t="inlineStr">
        <is>
          <t>FLOW.03-14</t>
        </is>
      </c>
      <c r="N101" s="23" t="n"/>
      <c r="O101" s="23" t="n"/>
      <c r="P101" s="23" t="n"/>
      <c r="Q101" s="23" t="n"/>
      <c r="R101" s="23" t="n"/>
      <c r="S101" s="23" t="n"/>
      <c r="T101" s="23" t="n"/>
      <c r="U101" s="23">
        <f>IF(R101&lt;&gt;"", R101, O101)</f>
        <v/>
      </c>
    </row>
    <row r="102" ht="15.75" customHeight="1" s="17">
      <c r="A102" s="23" t="inlineStr">
        <is>
          <t>PR03-FLOW-03-015</t>
        </is>
      </c>
      <c r="B102" s="23" t="inlineStr">
        <is>
          <t>PR03</t>
        </is>
      </c>
      <c r="C102" s="23" t="inlineStr">
        <is>
          <t>Chuyển đổi code phí giữa các biểu phí</t>
        </is>
      </c>
      <c r="D102" s="23" t="inlineStr">
        <is>
          <t>Chuyển đổi – Audit đầy đủ Maker/Checker/time</t>
        </is>
      </c>
      <c r="E102" s="23" t="inlineStr">
        <is>
          <t>Flow</t>
        </is>
      </c>
      <c r="F102" s="23" t="inlineStr">
        <is>
          <t>Regression</t>
        </is>
      </c>
      <c r="G102" s="23" t="inlineStr">
        <is>
          <t>P2</t>
        </is>
      </c>
      <c r="H102" s="23" t="inlineStr">
        <is>
          <t>1. Maker/Checker có quyền OT 01 hoạt động dữ liệu nền hợp lệ.</t>
        </is>
      </c>
      <c r="I102" s="23" t="inlineStr">
        <is>
          <t>1. Mở Audit/Log
2. Kiểm tra Maker/Checker/timestamp/nội dung</t>
        </is>
      </c>
      <c r="J102" s="23" t="inlineStr">
        <is>
          <t>(i) Logic: Audit liệt kê Maker/Checker/timestamp và nội dung chuyển đổi
(ii) UI: Không cảnh báo
(iii) Trạng thái/Audit log: Bản ghi lưu ở trạng thái 'Chờ duyệt' tại màn hình Tác vụ chờ duyệt. Hệ thống tự động điền Ngày tạo
(thực tế) và Người tạo (Username Maker).</t>
        </is>
      </c>
      <c r="K102" s="23" t="inlineStr">
        <is>
          <t>II.5.1.3.4.b; II.5.1.3.4.c</t>
        </is>
      </c>
      <c r="L102" s="23" t="inlineStr">
        <is>
          <t>FLOW.03</t>
        </is>
      </c>
      <c r="M102" s="23" t="inlineStr">
        <is>
          <t>FLOW.03-15</t>
        </is>
      </c>
      <c r="N102" s="23" t="n"/>
      <c r="O102" s="23" t="n"/>
      <c r="P102" s="23" t="n"/>
      <c r="Q102" s="23" t="n"/>
      <c r="R102" s="23" t="n"/>
      <c r="S102" s="23" t="n"/>
      <c r="T102" s="23" t="n"/>
      <c r="U102" s="23">
        <f>IF(R102&lt;&gt;"", R102, O102)</f>
        <v/>
      </c>
    </row>
    <row r="103" ht="15.75" customHeight="1" s="17">
      <c r="A103" s="23" t="inlineStr">
        <is>
          <t>PR03-br09-NEG-001</t>
        </is>
      </c>
      <c r="B103" s="23" t="inlineStr">
        <is>
          <t>PR03</t>
        </is>
      </c>
      <c r="C103" s="23" t="inlineStr">
        <is>
          <t>Thêm mới Biểu phí</t>
        </is>
      </c>
      <c r="D103" s="23" t="inlineStr">
        <is>
          <t>Kiểm tra lỗi: Chặn và báo lỗi khi Nhập link Edoc không đúng định dạng</t>
        </is>
      </c>
      <c r="E103" s="23" t="inlineStr">
        <is>
          <t>Negative</t>
        </is>
      </c>
      <c r="F103" s="23" t="inlineStr">
        <is>
          <t>Regression</t>
        </is>
      </c>
      <c r="G103" s="23" t="inlineStr">
        <is>
          <t>P3</t>
        </is>
      </c>
      <c r="H103" s="23" t="inlineStr">
        <is>
          <t>1. Màn hình cấu hình link Edoc.</t>
        </is>
      </c>
      <c r="I103" s="23" t="inlineStr">
        <is>
          <t>1. Nhập một chuỗi không phải URL (ví dụ: 'abc-xyz').
2. Nhấn Xác nhận.</t>
        </is>
      </c>
      <c r="J103"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03" s="23" t="inlineStr">
        <is>
          <t>BR Code: BR_09</t>
        </is>
      </c>
      <c r="L103" s="23" t="inlineStr">
        <is>
          <t>BR_09</t>
        </is>
      </c>
      <c r="M103" s="23" t="inlineStr">
        <is>
          <t>BR_09-NEG</t>
        </is>
      </c>
      <c r="N103" s="23" t="inlineStr">
        <is>
          <t>Bổ sung GAPs review.</t>
        </is>
      </c>
      <c r="O103" s="23" t="n"/>
      <c r="P103" s="23" t="n"/>
      <c r="Q103" s="23" t="n"/>
      <c r="R103" s="23" t="n"/>
      <c r="S103" s="23" t="n"/>
      <c r="T103" s="23" t="n"/>
      <c r="U103" s="23">
        <f>IF(R103&lt;&gt;"", R103, O103)</f>
        <v/>
      </c>
    </row>
    <row r="104" ht="15.75" customHeight="1" s="17">
      <c r="A104" s="23" t="inlineStr">
        <is>
          <t>PR03-br06-NEG-002</t>
        </is>
      </c>
      <c r="B104" s="23" t="inlineStr">
        <is>
          <t>PR03</t>
        </is>
      </c>
      <c r="C104" s="23" t="inlineStr">
        <is>
          <t>Upload DS Code phí</t>
        </is>
      </c>
      <c r="D104" s="23" t="inlineStr">
        <is>
          <t>Kiểm tra lỗi: Chặn và báo lỗi khi Upload file định dạng sai (.xls, .csv, .pdf)</t>
        </is>
      </c>
      <c r="E104" s="23" t="inlineStr">
        <is>
          <t>Negative</t>
        </is>
      </c>
      <c r="F104" s="23" t="inlineStr">
        <is>
          <t>Regression</t>
        </is>
      </c>
      <c r="G104" s="23" t="inlineStr">
        <is>
          <t>P1</t>
        </is>
      </c>
      <c r="H104" s="23" t="inlineStr">
        <is>
          <t>1. File dữ liệu không phải xlsx.</t>
        </is>
      </c>
      <c r="I104" s="23" t="inlineStr">
        <is>
          <t>1. Chọn file upload là file .xls hoặc .csv.
2. Quan sát phản hồi.</t>
        </is>
      </c>
      <c r="J104"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04" s="23" t="inlineStr">
        <is>
          <t>BR Code: BR_06</t>
        </is>
      </c>
      <c r="L104" s="23" t="inlineStr">
        <is>
          <t>BR_06</t>
        </is>
      </c>
      <c r="M104" s="23" t="inlineStr">
        <is>
          <t>BR_06-NEG</t>
        </is>
      </c>
      <c r="N104" s="23" t="inlineStr">
        <is>
          <t>Bổ sung GAPs review.</t>
        </is>
      </c>
      <c r="O104" s="23" t="n"/>
      <c r="P104" s="23" t="n"/>
      <c r="Q104" s="23" t="n"/>
      <c r="R104" s="23" t="n"/>
      <c r="S104" s="23" t="n"/>
      <c r="T104" s="23" t="n"/>
      <c r="U104" s="23">
        <f>IF(R104&lt;&gt;"", R104, O104)</f>
        <v/>
      </c>
    </row>
    <row r="105" ht="15.75" customHeight="1" s="17">
      <c r="A105" s="23" t="inlineStr">
        <is>
          <t>PR03-br08-NEG-002</t>
        </is>
      </c>
      <c r="B105" s="23" t="inlineStr">
        <is>
          <t>PR03</t>
        </is>
      </c>
      <c r="C105" s="23" t="inlineStr">
        <is>
          <t>Chọn Sản phẩm/Dịch vụ</t>
        </is>
      </c>
      <c r="D105" s="23" t="inlineStr">
        <is>
          <t>Kiểm tra lỗi: Chặn và báo lỗi khi Chọn SPDV cấp cha (không phải cấp cuối)</t>
        </is>
      </c>
      <c r="E105" s="23" t="inlineStr">
        <is>
          <t>Negative</t>
        </is>
      </c>
      <c r="F105" s="23" t="inlineStr">
        <is>
          <t>Regression</t>
        </is>
      </c>
      <c r="G105" s="23" t="inlineStr">
        <is>
          <t>P2</t>
        </is>
      </c>
      <c r="H105" s="23" t="inlineStr">
        <is>
          <t>1. Cây SPDV có nhiều cấp.</t>
        </is>
      </c>
      <c r="I105" s="23" t="inlineStr">
        <is>
          <t>1. Thực hiện chọn một Category/Nhóm SPDV cấp cha.
2. Quan sát hệ thống.</t>
        </is>
      </c>
      <c r="J105"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05" s="23" t="inlineStr">
        <is>
          <t>BR Code: BR_08</t>
        </is>
      </c>
      <c r="L105" s="23" t="inlineStr">
        <is>
          <t>BR_08</t>
        </is>
      </c>
      <c r="M105" s="23" t="inlineStr">
        <is>
          <t>BR_08-NEG</t>
        </is>
      </c>
      <c r="N105" s="23" t="inlineStr">
        <is>
          <t>Bổ sung GAPs review.</t>
        </is>
      </c>
      <c r="O105" s="23" t="n"/>
      <c r="P105" s="23" t="n"/>
      <c r="Q105" s="23" t="n"/>
      <c r="R105" s="23" t="n"/>
      <c r="S105" s="23" t="n"/>
      <c r="T105" s="23" t="n"/>
      <c r="U105" s="23">
        <f>IF(R105&lt;&gt;"", R105, O105)</f>
        <v/>
      </c>
    </row>
    <row r="106" ht="15.75" customHeight="1" s="17">
      <c r="A106" s="23" t="inlineStr">
        <is>
          <t>PR03-FLOW-03-016</t>
        </is>
      </c>
      <c r="B106" s="23" t="inlineStr">
        <is>
          <t>PR03</t>
        </is>
      </c>
      <c r="C106" s="23" t="inlineStr">
        <is>
          <t>Chuyển đổi Biểu phí</t>
        </is>
      </c>
      <c r="D106" s="23" t="inlineStr">
        <is>
          <t>Flow.03: Kiểm tra tính toán con số thống kê</t>
        </is>
      </c>
      <c r="E106" s="23" t="inlineStr">
        <is>
          <t>Calculation</t>
        </is>
      </c>
      <c r="F106" s="23" t="inlineStr">
        <is>
          <t>Smoke</t>
        </is>
      </c>
      <c r="G106" s="23" t="inlineStr">
        <is>
          <t>P1</t>
        </is>
      </c>
      <c r="H106" s="23" t="inlineStr">
        <is>
          <t>1. Biểu phí A (10 code) Biểu phí B (20 code) Chọn chuyển 5 code từ A sang B.</t>
        </is>
      </c>
      <c r="I106" s="23" t="inlineStr">
        <is>
          <t>1. Chọn 5 code phí.
2. Nhấn Chuyển đổi.
3. Kiểm tra các con số thống kê hiển thị.</t>
        </is>
      </c>
      <c r="J106" s="23" t="inlineStr">
        <is>
          <t>(i) Logic: Kiểm tra khớp: Số lượng CP chuyển = 5; Số lượng CP mới
(sau khi chuyển) = 20 + 5 =
25.
(ii) UI: Hiển thị đúng 4 tham số thống kê theo quy trình.
(iii) Trạng thái/Audit log: Bản ghi lưu ở trạng thái 'Chờ duyệt' tại màn hình Tác vụ chờ duyệt. Hệ thống tự động điền Ngày tạo
(thực tế) và Người tạo (Username Maker).</t>
        </is>
      </c>
      <c r="K106" s="23" t="inlineStr">
        <is>
          <t>Workflow Chuyển đổi</t>
        </is>
      </c>
      <c r="L106" s="23" t="inlineStr">
        <is>
          <t>FLOW.03</t>
        </is>
      </c>
      <c r="M106" s="23" t="inlineStr">
        <is>
          <t>FLOW.03-MATH</t>
        </is>
      </c>
      <c r="N106" s="23" t="inlineStr">
        <is>
          <t>Bổ sung GAPs review.</t>
        </is>
      </c>
      <c r="O106" s="23" t="n"/>
      <c r="P106" s="23" t="n"/>
      <c r="Q106" s="23" t="n"/>
      <c r="R106" s="23" t="n"/>
      <c r="S106" s="23" t="n"/>
      <c r="T106" s="23" t="n"/>
      <c r="U106" s="23">
        <f>IF(R106&lt;&gt;"", R106, O106)</f>
        <v/>
      </c>
    </row>
    <row r="107" ht="15.75" customHeight="1" s="17">
      <c r="A107" s="23" t="inlineStr">
        <is>
          <t>PR03-br10-BOU-002</t>
        </is>
      </c>
      <c r="B107" s="23" t="inlineStr">
        <is>
          <t>PR03</t>
        </is>
      </c>
      <c r="C107" s="23" t="inlineStr">
        <is>
          <t>Mã Code phí tự sinh</t>
        </is>
      </c>
      <c r="D107" s="23" t="inlineStr">
        <is>
          <t>Kiểm tra biên: Xác minh giới hạn của Kiểm tra Logic sinh mã Code phí tự động</t>
        </is>
      </c>
      <c r="E107" s="23" t="inlineStr">
        <is>
          <t>Boundary</t>
        </is>
      </c>
      <c r="F107" s="23" t="inlineStr">
        <is>
          <t>Regression</t>
        </is>
      </c>
      <c r="G107" s="23" t="inlineStr">
        <is>
          <t>P2</t>
        </is>
      </c>
      <c r="H107" s="23" t="inlineStr">
        <is>
          <t>1. Quy tắc: Code = [FeeType][YYMM][Sequence].</t>
        </is>
      </c>
      <c r="I107" s="23" t="inlineStr">
        <is>
          <t>1. Thực hiện thêm mới Code phí.
2. Quan sát Mã tự sinh.
3. Đối chiếu với rule II.
5.
1.
1.
4.c.</t>
        </is>
      </c>
      <c r="J107" s="23" t="inlineStr">
        <is>
          <t>(i) Nghiệp vụ/Logic: Hệ thống xử lý đúng quy định tại giá trị biên (Min/Max/Limit).
(ii) UI: Hiển thị thông báo hoặc trạng thái tương ứng.
(iii) Trạng thái: Lưu hoặc Chặn tùy quy định.</t>
        </is>
      </c>
      <c r="K107" s="23" t="inlineStr">
        <is>
          <t>BR Code: BR_10</t>
        </is>
      </c>
      <c r="L107" s="23" t="inlineStr">
        <is>
          <t>BR_10</t>
        </is>
      </c>
      <c r="M107" s="23" t="inlineStr">
        <is>
          <t>BR_10-BOU</t>
        </is>
      </c>
      <c r="N107" s="23" t="inlineStr">
        <is>
          <t>Bổ sung GAPs review.</t>
        </is>
      </c>
      <c r="O107" s="23" t="n"/>
      <c r="P107" s="23" t="n"/>
      <c r="Q107" s="23" t="n"/>
      <c r="R107" s="23" t="n"/>
      <c r="S107" s="23" t="n"/>
      <c r="T107" s="23" t="n"/>
      <c r="U107" s="23">
        <f>IF(R107&lt;&gt;"", R107, O107)</f>
        <v/>
      </c>
    </row>
    <row r="108" ht="15.75" customHeight="1" s="17">
      <c r="A108" s="23" t="inlineStr">
        <is>
          <t>PR03-br07-NEG-002</t>
        </is>
      </c>
      <c r="B108" s="23" t="inlineStr">
        <is>
          <t>PR03</t>
        </is>
      </c>
      <c r="C108" s="23" t="inlineStr">
        <is>
          <t>Validate file Upload</t>
        </is>
      </c>
      <c r="D108" s="23" t="inlineStr">
        <is>
          <t>Kiểm tra lỗi: Chặn và báo lỗi khi Upload file dữ liệu Mixed (Dòng đúng - Dòng sai)</t>
        </is>
      </c>
      <c r="E108" s="23" t="inlineStr">
        <is>
          <t>Negative</t>
        </is>
      </c>
      <c r="F108" s="23" t="inlineStr">
        <is>
          <t>Regression</t>
        </is>
      </c>
      <c r="G108" s="23" t="inlineStr">
        <is>
          <t>P1</t>
        </is>
      </c>
      <c r="H108" s="23" t="inlineStr">
        <is>
          <t>1. File xlsx có 2 dòng đúng, 3 dòng sai logic/duplicate.</t>
        </is>
      </c>
      <c r="I108" s="23" t="inlineStr">
        <is>
          <t>1. Thực hiện upload file data hỗn hợp.
2. Quan sát danh sách lỗi.</t>
        </is>
      </c>
      <c r="J108"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
[v0.9-UPD] Hệ thống kiểm tra: Code phí trạng thái = 'Chưa gắn' hoặc 'Ngừng hoạt động' VÀ chưa thuộc Biểu phí nào đang 'Có hiệu lực'. Nếu không thỏa → báo lỗi từng dòng, chặn lưu.</t>
        </is>
      </c>
      <c r="K108" s="23" t="inlineStr">
        <is>
          <t>BR Code: BR_07</t>
        </is>
      </c>
      <c r="L108" s="23" t="inlineStr">
        <is>
          <t>BR_07</t>
        </is>
      </c>
      <c r="M108" s="23" t="inlineStr">
        <is>
          <t>BR_07-NEG-MIXED</t>
        </is>
      </c>
      <c r="N108" s="23" t="inlineStr">
        <is>
          <t>Bổ sung GAPs review.  |  [v0.9-UPD] BR_07/08 rule mới về trạng thái code phí import</t>
        </is>
      </c>
      <c r="O108" s="23" t="n"/>
      <c r="P108" s="23" t="n"/>
      <c r="Q108" s="23" t="n"/>
      <c r="R108" s="23" t="n"/>
      <c r="S108" s="23" t="n"/>
      <c r="T108" s="23" t="n"/>
      <c r="U108" s="23">
        <f>IF(R108&lt;&gt;"", R108, O108)</f>
        <v/>
      </c>
    </row>
    <row r="109" ht="15.75" customHeight="1" s="17">
      <c r="A109" s="23" t="inlineStr">
        <is>
          <t>PR03-BR07-NEG-NEW-001</t>
        </is>
      </c>
      <c r="B109" s="23" t="inlineStr">
        <is>
          <t>PR03</t>
        </is>
      </c>
      <c r="C109" s="23" t="inlineStr">
        <is>
          <t>Upload Code phí vào Biểu phí</t>
        </is>
      </c>
      <c r="D109" s="23" t="inlineStr">
        <is>
          <t>[v0.9-NEW] Import code phí ở trạng thái 'Đã gắn' vào biểu phí đang hiệu lực → Chặn lỗi</t>
        </is>
      </c>
      <c r="E109" s="23" t="inlineStr">
        <is>
          <t>Negative</t>
        </is>
      </c>
      <c r="F109" s="23" t="inlineStr">
        <is>
          <t>Regression</t>
        </is>
      </c>
      <c r="G109" s="23" t="inlineStr">
        <is>
          <t>P1</t>
        </is>
      </c>
      <c r="H109" s="23" t="inlineStr">
        <is>
          <t>Có code phí đang ở trạng thái 'Đã gắn' (thuộc biểu phí khác còn hiệu lực).</t>
        </is>
      </c>
      <c r="I109" s="23" t="inlineStr">
        <is>
          <t>1. Tạo file XLSX chứa code phí ở trạng thái 'Đã gắn'.
2. Upload vào chức năng Thêm mới Biểu phí.
3. Quan sát kết quả.</t>
        </is>
      </c>
      <c r="J109" s="23" t="inlineStr">
        <is>
          <t>(i) Logic: Hệ thống báo lỗi từng dòng vi phạm: 'Code phí [X] đang thuộc Biểu phí [Y] còn hiệu lực'.
(ii) UI: Danh sách lỗi hiển thị rõ từng code phí bị lỗi.
(iii) Hệ thống chặn không cho lưu toàn bộ danh sách.</t>
        </is>
      </c>
      <c r="K109" s="23" t="inlineStr">
        <is>
          <t>II.5.1.3 – BR_07/BR_08</t>
        </is>
      </c>
      <c r="L109" s="23" t="inlineStr">
        <is>
          <t>BR_07</t>
        </is>
      </c>
      <c r="M109" s="23" t="inlineStr">
        <is>
          <t>BR07-NEG-DANGGAN-001</t>
        </is>
      </c>
      <c r="N109" s="23" t="inlineStr">
        <is>
          <t>[v0.9-NEW] Rule import mới: kiểm tra trạng thái code phí</t>
        </is>
      </c>
      <c r="O109" s="23" t="n"/>
      <c r="P109" s="23" t="n"/>
      <c r="Q109" s="23" t="n"/>
      <c r="R109" s="23" t="n"/>
      <c r="S109" s="23" t="n"/>
      <c r="T109" s="23" t="n"/>
      <c r="U109" s="23" t="n"/>
    </row>
    <row r="110" ht="15.75" customHeight="1" s="17">
      <c r="A110" s="23" t="inlineStr">
        <is>
          <t>PR03-BR07-NEG-NEW-002</t>
        </is>
      </c>
      <c r="B110" s="23" t="inlineStr">
        <is>
          <t>PR03</t>
        </is>
      </c>
      <c r="C110" s="23" t="inlineStr">
        <is>
          <t>Upload Code phí vào Biểu phí</t>
        </is>
      </c>
      <c r="D110" s="23" t="inlineStr">
        <is>
          <t>[v0.9-NEW] Import code phí trạng thái 'Chưa gắn' và 'Ngừng hoạt động' → Cho phép</t>
        </is>
      </c>
      <c r="E110" s="23" t="inlineStr">
        <is>
          <t>Happy</t>
        </is>
      </c>
      <c r="F110" s="23" t="inlineStr">
        <is>
          <t>Smoke</t>
        </is>
      </c>
      <c r="G110" s="23" t="inlineStr">
        <is>
          <t>P1</t>
        </is>
      </c>
      <c r="H110" s="23" t="inlineStr">
        <is>
          <t>Có code phí trạng thái 'Chưa gắn' và code phí 'Ngừng hoạt động'.</t>
        </is>
      </c>
      <c r="I110" s="23" t="inlineStr">
        <is>
          <t>1. Chuẩn bị file XLSX chứa 2 code phí: 1 trạng thái 'Chưa gắn', 1 trạng thái 'Ngừng hoạt động'.
2. Upload vào chức năng Thêm mới Biểu phí.
3. Nhấn Xác nhận.</t>
        </is>
      </c>
      <c r="J110" s="23" t="inlineStr">
        <is>
          <t>(i) Logic: Cả 2 code phí đều hợp lệ, không có lỗi.
(ii) UI: Hiển thị thành công 2 code phí trên lưới Thông tin chi tiết.
(iii) Cho phép tiếp tục lưu và gửi duyệt.</t>
        </is>
      </c>
      <c r="K110" s="23" t="inlineStr">
        <is>
          <t>II.5.1.3 – BR_07/BR_08</t>
        </is>
      </c>
      <c r="L110" s="23" t="inlineStr">
        <is>
          <t>BR_07</t>
        </is>
      </c>
      <c r="M110" s="23" t="inlineStr">
        <is>
          <t>BR07-HAP-VALID-STATUS-001</t>
        </is>
      </c>
      <c r="N110" s="23" t="inlineStr">
        <is>
          <t>[v0.9-NEW] Happy case cho 2 trạng thái hợp lệ mới</t>
        </is>
      </c>
      <c r="O110" s="23" t="n"/>
      <c r="P110" s="23" t="n"/>
      <c r="Q110" s="23" t="n"/>
      <c r="R110" s="23" t="n"/>
      <c r="S110" s="23" t="n"/>
      <c r="T110" s="23" t="n"/>
      <c r="U110" s="23" t="n"/>
    </row>
    <row r="111" ht="15.75" customHeight="1" s="17">
      <c r="A111" s="23" t="inlineStr">
        <is>
          <t>PR03-BR03-NEG-SAOCHEP-001</t>
        </is>
      </c>
      <c r="B111" s="23" t="inlineStr">
        <is>
          <t>PR03</t>
        </is>
      </c>
      <c r="C111" s="23" t="inlineStr">
        <is>
          <t>Sao chép Biểu phí</t>
        </is>
      </c>
      <c r="D111" s="23" t="inlineStr">
        <is>
          <t>[v0.9-NEW] Sao chép Biểu phí đang 'Có hiệu lực' → Hệ thống chặn</t>
        </is>
      </c>
      <c r="E111" s="23" t="inlineStr">
        <is>
          <t>Negative</t>
        </is>
      </c>
      <c r="F111" s="23" t="inlineStr">
        <is>
          <t>Smoke</t>
        </is>
      </c>
      <c r="G111" s="23" t="inlineStr">
        <is>
          <t>P1</t>
        </is>
      </c>
      <c r="H111" s="23" t="inlineStr">
        <is>
          <t>Có Biểu phí ở trạng thái 'Đang có hiệu lực'.</t>
        </is>
      </c>
      <c r="I111" s="23" t="inlineStr">
        <is>
          <t>1. Tìm Biểu phí ở trạng thái 'Đang có hiệu lực'.
2. Kiểm tra sự hiển thị nút/action 'Sao chép'.
3. Nếu nút hiển thị, thực hiện nhấn và quan sát.</t>
        </is>
      </c>
      <c r="J111" s="23" t="inlineStr">
        <is>
          <t>(i) UI: Nút 'Sao chép' ở trạng thái disabled hoặc không hiển thị với Biểu phí 'Đang hiệu lực'.
(ii) Logic: Hệ thống từ chối thực hiện khi cố tình bypass.
(iii) Chỉ Biểu phí 'Hết hiệu lực' mới hiển thị nút Sao chép ở trạng thái enabled.</t>
        </is>
      </c>
      <c r="K111" s="23" t="inlineStr">
        <is>
          <t>II.5.1.3 – BR_03 Sao chép</t>
        </is>
      </c>
      <c r="L111" s="23" t="inlineStr">
        <is>
          <t>BR_03</t>
        </is>
      </c>
      <c r="M111" s="23" t="inlineStr">
        <is>
          <t>BR03-NEG-SAO-DANHIEULUC-001</t>
        </is>
      </c>
      <c r="N111" s="23" t="inlineStr">
        <is>
          <t>[v0.9-NEW] Sao chép chỉ cho Biểu 'Hết hiệu lực'</t>
        </is>
      </c>
      <c r="O111" s="23" t="n"/>
      <c r="P111" s="23" t="n"/>
      <c r="Q111" s="23" t="n"/>
      <c r="R111" s="23" t="n"/>
      <c r="S111" s="23" t="n"/>
      <c r="T111" s="23" t="n"/>
      <c r="U111" s="23" t="n"/>
    </row>
    <row r="112" ht="15.75" customHeight="1" s="17">
      <c r="A112" s="23" t="inlineStr">
        <is>
          <t>PR03-BR03-HAP-CHUYEN-001</t>
        </is>
      </c>
      <c r="B112" s="23" t="inlineStr">
        <is>
          <t>PR03</t>
        </is>
      </c>
      <c r="C112" s="23" t="inlineStr">
        <is>
          <t>Chuyển code phí giữa Biểu phí</t>
        </is>
      </c>
      <c r="D112" s="23" t="inlineStr">
        <is>
          <t>[v0.9-NEW] Chuyển code phí từ Biểu 'Hết hiệu lực' sang Biểu 'Đang hiệu lực' → Thành công</t>
        </is>
      </c>
      <c r="E112" s="23" t="inlineStr">
        <is>
          <t>Happy</t>
        </is>
      </c>
      <c r="F112" s="23" t="inlineStr">
        <is>
          <t>Smoke</t>
        </is>
      </c>
      <c r="G112" s="23" t="inlineStr">
        <is>
          <t>P1</t>
        </is>
      </c>
      <c r="H112" s="23" t="inlineStr">
        <is>
          <t>Biểu phí nguồn 'Hết hiệu lực' có code phí. Biểu phí đích 'Đang hiệu lực'.</t>
        </is>
      </c>
      <c r="I112" s="23" t="inlineStr">
        <is>
          <t>1. Mở Biểu phí ở trạng thái 'Hết hiệu lực'.
2. Chọn ≥1 code phí, chọn 'Chuyển đến Biểu phí'.
3. Chọn Biểu phí đích đang 'Có hiệu lực'.
4. Xác nhận → Checker duyệt.</t>
        </is>
      </c>
      <c r="J112" s="23" t="inlineStr">
        <is>
          <t>(i) Logic: Sau duyệt, code phí xuất hiện ở Biểu phí đích.
(ii) Biểu phí nguồn không còn chứa code phí đã chuyển.
(iii) Audit log ghi nhận hành động chuyển đổi.</t>
        </is>
      </c>
      <c r="K112" s="23" t="inlineStr">
        <is>
          <t>II.5.1.3 – BR_03 Chuyển</t>
        </is>
      </c>
      <c r="L112" s="23" t="inlineStr">
        <is>
          <t>BR_03</t>
        </is>
      </c>
      <c r="M112" s="23" t="inlineStr">
        <is>
          <t>BR03-HAP-CHUYEN-HETHL-001</t>
        </is>
      </c>
      <c r="N112" s="23" t="inlineStr">
        <is>
          <t>[v0.9-NEW] Chuyển code phí từ Biểu hết HĐ sang Biểu đang HĐ</t>
        </is>
      </c>
      <c r="O112" s="23" t="n"/>
      <c r="P112" s="23" t="n"/>
      <c r="Q112" s="23" t="n"/>
      <c r="R112" s="23" t="n"/>
      <c r="S112" s="23" t="n"/>
      <c r="T112" s="23" t="n"/>
      <c r="U112" s="23" t="n"/>
    </row>
    <row r="113" ht="15.75" customHeight="1" s="17">
      <c r="A113" s="23" t="inlineStr">
        <is>
          <t>PR03-BR03-NEG-CHUYEN-001</t>
        </is>
      </c>
      <c r="B113" s="23" t="inlineStr">
        <is>
          <t>PR03</t>
        </is>
      </c>
      <c r="C113" s="23" t="inlineStr">
        <is>
          <t>Chuyển code phí giữa Biểu phí</t>
        </is>
      </c>
      <c r="D113" s="23" t="inlineStr">
        <is>
          <t>[v0.9-NEW] Chuyển code phí từ Biểu 'Đang hiệu lực' đi → Hệ thống chặn</t>
        </is>
      </c>
      <c r="E113" s="23" t="inlineStr">
        <is>
          <t>Negative</t>
        </is>
      </c>
      <c r="F113" s="23" t="inlineStr">
        <is>
          <t>Regression</t>
        </is>
      </c>
      <c r="G113" s="23" t="inlineStr">
        <is>
          <t>P1</t>
        </is>
      </c>
      <c r="H113" s="23" t="inlineStr">
        <is>
          <t>Biểu phí nguồn đang ở trạng thái 'Đang có hiệu lực'.</t>
        </is>
      </c>
      <c r="I113" s="23" t="inlineStr">
        <is>
          <t>1. Mở Biểu phí ở trạng thái 'Đang có hiệu lực'.
2. Kiểm tra nút/action 'Chuyển code phí đi'.</t>
        </is>
      </c>
      <c r="J113" s="23" t="inlineStr">
        <is>
          <t>(i) UI: Nút 'Chuyển' ở trạng thái disabled hoặc ẩn với Biểu đang hiệu lực.
(ii) Logic: Hệ thống từ chối yêu cầu chuyển, hiển thị thông báo lỗi phù hợp.
(iii) Không tạo bản ghi chuyển đổi.</t>
        </is>
      </c>
      <c r="K113" s="23" t="inlineStr">
        <is>
          <t>II.5.1.3 – BR_03 Chuyển</t>
        </is>
      </c>
      <c r="L113" s="23" t="inlineStr">
        <is>
          <t>BR_03</t>
        </is>
      </c>
      <c r="M113" s="23" t="inlineStr">
        <is>
          <t>BR03-NEG-CHUYEN-DANGHL-001</t>
        </is>
      </c>
      <c r="N113" s="23" t="inlineStr">
        <is>
          <t>[v0.9-NEW] Chỉ Biểu 'Hết hiệu lực' mới được chuyển code phí đi</t>
        </is>
      </c>
      <c r="O113" s="23" t="n"/>
      <c r="P113" s="23" t="n"/>
      <c r="Q113" s="23" t="n"/>
      <c r="R113" s="23" t="n"/>
      <c r="S113" s="23" t="n"/>
      <c r="T113" s="23" t="n"/>
      <c r="U113" s="23" t="n"/>
    </row>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1">
    <mergeCell ref="A1:U1"/>
  </mergeCells>
  <conditionalFormatting sqref="U3:U1000">
    <cfRule type="cellIs" priority="1" operator="equal" dxfId="1">
      <formula>"Pass"</formula>
    </cfRule>
    <cfRule type="cellIs" priority="2" operator="equal" dxfId="0">
      <formula>"Fail"</formula>
    </cfRule>
  </conditionalFormatting>
  <dataValidations count="2">
    <dataValidation sqref="O3:O116 R3:R116" showDropDown="0" showInputMessage="0" showErrorMessage="0" allowBlank="1" type="list">
      <formula1>"Pass,Fail,Doing,Blocked,N/A"</formula1>
    </dataValidation>
    <dataValidation sqref="P3:P116 S3:S116" showDropDown="0" showInputMessage="0" showErrorMessage="0" allowBlank="1" type="list">
      <formula1>"Định,Thanh,Vân Anh,Hiệp"</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U43"/>
  <sheetViews>
    <sheetView workbookViewId="0">
      <pane ySplit="2" topLeftCell="A3" activePane="bottomLeft" state="frozen"/>
      <selection pane="bottomLeft" activeCell="B4" sqref="B4"/>
    </sheetView>
  </sheetViews>
  <sheetFormatPr baseColWidth="10" defaultColWidth="14.5" defaultRowHeight="15" customHeight="1"/>
  <cols>
    <col width="14" customWidth="1" style="17" min="1" max="1"/>
    <col width="8" customWidth="1" style="17" min="2" max="3"/>
    <col width="22" customWidth="1" style="17" min="3" max="3"/>
    <col width="38" customWidth="1" style="17" min="4" max="4"/>
    <col width="12" customWidth="1" style="17" min="5" max="7"/>
    <col width="12" customWidth="1" style="17" min="6" max="6"/>
    <col width="9" customWidth="1" style="17" min="7" max="7"/>
    <col width="32" customWidth="1" style="17" min="8" max="10"/>
    <col width="42" customWidth="1" style="17" min="9" max="9"/>
    <col width="52" customWidth="1" style="17" min="10" max="10"/>
    <col width="22" customWidth="1" style="17" min="11" max="12"/>
    <col width="14" customWidth="1" style="17" min="12" max="12"/>
    <col width="14" customWidth="1" style="17" min="13" max="13"/>
    <col width="22" customWidth="1" style="17" min="14" max="14"/>
    <col width="12" customWidth="1" style="17" min="15" max="21"/>
    <col width="12" customWidth="1" style="17" min="16" max="16"/>
    <col width="12" customWidth="1" style="17" min="17" max="17"/>
    <col width="12" customWidth="1" style="17" min="18" max="18"/>
    <col width="12" customWidth="1" style="17" min="19" max="19"/>
    <col width="12" customWidth="1" style="17" min="20" max="20"/>
    <col width="12" customWidth="1" style="17" min="21" max="21"/>
    <col width="8.6640625" customWidth="1" style="17" min="22" max="26"/>
  </cols>
  <sheetData>
    <row r="1" ht="17" customHeight="1" s="17">
      <c r="A1" s="21" t="inlineStr">
        <is>
          <t>TEST CASES — II.5.1.4.  PR.04- Danh sách Code phí chưa sử dụng</t>
        </is>
      </c>
    </row>
    <row r="2" ht="16" customHeight="1" s="17">
      <c r="A2" s="1" t="inlineStr">
        <is>
          <t>TC_ID</t>
        </is>
      </c>
      <c r="B2" s="1" t="inlineStr">
        <is>
          <t>Module</t>
        </is>
      </c>
      <c r="C2" s="1" t="inlineStr">
        <is>
          <t>Feature</t>
        </is>
      </c>
      <c r="D2" s="1" t="inlineStr">
        <is>
          <t>Title</t>
        </is>
      </c>
      <c r="E2" s="1" t="inlineStr">
        <is>
          <t>Type</t>
        </is>
      </c>
      <c r="F2" s="1" t="inlineStr">
        <is>
          <t>Category</t>
        </is>
      </c>
      <c r="G2" s="1" t="inlineStr">
        <is>
          <t>Priority</t>
        </is>
      </c>
      <c r="H2" s="1" t="inlineStr">
        <is>
          <t>Precondition</t>
        </is>
      </c>
      <c r="I2" s="1" t="inlineStr">
        <is>
          <t>Steps</t>
        </is>
      </c>
      <c r="J2" s="1" t="inlineStr">
        <is>
          <t>(i) Nghiệp vụ/Logic: Title thành công theo quy trình của [BR_Ref].
(ii) Dữ liệu: Ghi nhận thông tin vào Database chính xác, đầy đủ các trường.
(iii) Trạng thái: Bản ghi được chuyển sang 'Chờ duyệt'.</t>
        </is>
      </c>
      <c r="K2" s="1" t="inlineStr">
        <is>
          <t>URD_Ref</t>
        </is>
      </c>
      <c r="L2" s="1" t="inlineStr">
        <is>
          <t>BR_Ref</t>
        </is>
      </c>
      <c r="M2" s="1" t="inlineStr">
        <is>
          <t>Trace_ID</t>
        </is>
      </c>
      <c r="N2" s="1" t="inlineStr">
        <is>
          <t>Note</t>
        </is>
      </c>
      <c r="O2" s="1" t="inlineStr">
        <is>
          <t>Status R1</t>
        </is>
      </c>
      <c r="P2" s="1" t="inlineStr">
        <is>
          <t>Tester R1</t>
        </is>
      </c>
      <c r="Q2" s="1" t="inlineStr">
        <is>
          <t>Date R1</t>
        </is>
      </c>
      <c r="R2" s="1" t="inlineStr">
        <is>
          <t>Status R2</t>
        </is>
      </c>
      <c r="S2" s="1" t="inlineStr">
        <is>
          <t>Tester R2</t>
        </is>
      </c>
      <c r="T2" s="1" t="inlineStr">
        <is>
          <t>Date R2</t>
        </is>
      </c>
      <c r="U2" s="1" t="inlineStr">
        <is>
          <t>Final Status</t>
        </is>
      </c>
    </row>
    <row r="3" ht="64" customHeight="1" s="17">
      <c r="A3" s="23" t="inlineStr">
        <is>
          <t>PR04-BR-01</t>
        </is>
      </c>
      <c r="B3" s="23" t="inlineStr">
        <is>
          <t>PR04</t>
        </is>
      </c>
      <c r="C3" s="23" t="inlineStr">
        <is>
          <t>Danh sách Code phí chưa sử dụng</t>
        </is>
      </c>
      <c r="D3" s="23" t="inlineStr">
        <is>
          <t>Kiểm tra thành công: Luồng Chỉ hiển thị các Code phí ở trạng thái Chờ gán, Ngừng hoạt động hoặc Hủy</t>
        </is>
      </c>
      <c r="E3" s="23" t="inlineStr">
        <is>
          <t>Happy</t>
        </is>
      </c>
      <c r="F3" s="23" t="inlineStr">
        <is>
          <t>Smoke</t>
        </is>
      </c>
      <c r="G3" s="23" t="inlineStr">
        <is>
          <t>P1</t>
        </is>
      </c>
      <c r="H3" s="23" t="inlineStr">
        <is>
          <t>1. Người dùng có quyền truy cập PR dữ liệu có đủ các trạng thái.</t>
        </is>
      </c>
      <c r="I3" s="23" t="inlineStr">
        <is>
          <t>1) Mở PR.04 từ menu
2) Quan sát dữ liệu trên lưới
3) Đối chiếu trạng thái của các bản ghi hiển thị</t>
        </is>
      </c>
      <c r="J3" s="23" t="inlineStr">
        <is>
          <t>(i) Nghiệp vụ/Logic: Thông tin được xử lý thành công và lưu trữ toàn vẹn dữ liệu.
(ii) UI: Thông báo 'Thao tác thành công'.
(iii) Trạng thái: 'Chờ duyệt' (Maker tạo mới).</t>
        </is>
      </c>
      <c r="K3" s="23" t="inlineStr">
        <is>
          <t>II.5.1.4.1</t>
        </is>
      </c>
      <c r="L3" s="23" t="inlineStr">
        <is>
          <t>BR_01</t>
        </is>
      </c>
      <c r="M3" s="23" t="inlineStr">
        <is>
          <t>BR_01-HAP</t>
        </is>
      </c>
      <c r="N3" s="23" t="n"/>
      <c r="O3" s="23" t="n"/>
      <c r="P3" s="23" t="n"/>
      <c r="Q3" s="23" t="n"/>
      <c r="R3" s="23" t="n"/>
      <c r="S3" s="23" t="n"/>
      <c r="T3" s="23" t="n"/>
      <c r="U3" s="23">
        <f>IF(R3&lt;&gt;"", R3, O3)</f>
        <v/>
      </c>
    </row>
    <row r="4" ht="96" customHeight="1" s="17">
      <c r="A4" s="23" t="inlineStr">
        <is>
          <t>PR04-BR-02</t>
        </is>
      </c>
      <c r="B4" s="23" t="inlineStr">
        <is>
          <t>PR04</t>
        </is>
      </c>
      <c r="C4" s="23" t="inlineStr">
        <is>
          <t>Danh sách Code phí chưa sử dụng</t>
        </is>
      </c>
      <c r="D4" s="23" t="inlineStr">
        <is>
          <t>Kiểm tra lỗi: Chặn và báo lỗi khi Đảm bảo không hiển thị các Code phí đang ở trạng thái Hoạt động</t>
        </is>
      </c>
      <c r="E4" s="23" t="inlineStr">
        <is>
          <t>Negative</t>
        </is>
      </c>
      <c r="F4" s="23" t="inlineStr">
        <is>
          <t>Regression</t>
        </is>
      </c>
      <c r="G4" s="23" t="inlineStr">
        <is>
          <t>P1</t>
        </is>
      </c>
      <c r="H4" s="23" t="inlineStr">
        <is>
          <t>1. Có ít nhất 1 code trạng thái Hoạt động trong hệ thống.</t>
        </is>
      </c>
      <c r="I4" s="23" t="inlineStr">
        <is>
          <t>1) Mở PR.04
2) Tìm theo mã code đang Hoạt động
(nếu có ô tìm) 3) Hoặc duyệt qua các trang để kiểm tra</t>
        </is>
      </c>
      <c r="J4"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4" s="23" t="inlineStr">
        <is>
          <t>II.5.1.4.1</t>
        </is>
      </c>
      <c r="L4" s="23" t="inlineStr">
        <is>
          <t>BR_01</t>
        </is>
      </c>
      <c r="M4" s="23" t="inlineStr">
        <is>
          <t>BR_01-NEG</t>
        </is>
      </c>
      <c r="N4" s="23" t="n"/>
      <c r="O4" s="23" t="n"/>
      <c r="P4" s="23" t="n"/>
      <c r="Q4" s="23" t="n"/>
      <c r="R4" s="23" t="n"/>
      <c r="S4" s="23" t="n"/>
      <c r="T4" s="23" t="n"/>
      <c r="U4" s="23">
        <f>IF(R4&lt;&gt;"", R4, O4)</f>
        <v/>
      </c>
    </row>
    <row r="5" ht="64" customHeight="1" s="17">
      <c r="A5" s="23" t="inlineStr">
        <is>
          <t>PR04-BR-03</t>
        </is>
      </c>
      <c r="B5" s="23" t="inlineStr">
        <is>
          <t>PR04</t>
        </is>
      </c>
      <c r="C5" s="23" t="inlineStr">
        <is>
          <t>Danh sách Code phí chưa sử dụng</t>
        </is>
      </c>
      <c r="D5" s="23" t="inlineStr">
        <is>
          <t>Kiểm tra biên: Xác minh giới hạn của dữ liệu rỗng (empty state)</t>
        </is>
      </c>
      <c r="E5" s="23" t="inlineStr">
        <is>
          <t>Boundary</t>
        </is>
      </c>
      <c r="F5" s="23" t="inlineStr">
        <is>
          <t>Regression</t>
        </is>
      </c>
      <c r="G5" s="23" t="inlineStr">
        <is>
          <t>P2</t>
        </is>
      </c>
      <c r="H5" s="23" t="inlineStr">
        <is>
          <t>1. Không có bản ghi thỏa điều kiện (ví dụ các code đã được gán 'Hoạt động').</t>
        </is>
      </c>
      <c r="I5" s="23" t="inlineStr">
        <is>
          <t>1) Mở PR.04
2) Quan sát trạng thái lưới khi không có dữ liệu
3) Thực hiện Lọc để xác nhận vẫn rỗng</t>
        </is>
      </c>
      <c r="J5" s="23" t="inlineStr">
        <is>
          <t>(i) Nghiệp vụ/Logic: Hệ thống xử lý đúng quy định tại giá trị biên (Min/Max/Limit).
(ii) UI: Hiển thị thông báo hoặc trạng thái tương ứng.
(iii) Trạng thái: Lưu hoặc Chặn tùy quy định.</t>
        </is>
      </c>
      <c r="K5" s="23" t="inlineStr">
        <is>
          <t>II.5.1.4.1</t>
        </is>
      </c>
      <c r="L5" s="23" t="inlineStr">
        <is>
          <t>BR_01</t>
        </is>
      </c>
      <c r="M5" s="23" t="inlineStr">
        <is>
          <t>BR_01-BOU</t>
        </is>
      </c>
      <c r="N5" s="23" t="n"/>
      <c r="O5" s="23" t="n"/>
      <c r="P5" s="23" t="n"/>
      <c r="Q5" s="23" t="n"/>
      <c r="R5" s="23" t="n"/>
      <c r="S5" s="23" t="n"/>
      <c r="T5" s="23" t="n"/>
      <c r="U5" s="23">
        <f>IF(R5&lt;&gt;"", R5, O5)</f>
        <v/>
      </c>
    </row>
    <row r="6" ht="64" customHeight="1" s="17">
      <c r="A6" s="23" t="inlineStr">
        <is>
          <t>PR04-BR-04</t>
        </is>
      </c>
      <c r="B6" s="23" t="inlineStr">
        <is>
          <t>PR04</t>
        </is>
      </c>
      <c r="C6" s="23" t="inlineStr">
        <is>
          <t>Danh sách Code phí chưa sử dụng</t>
        </is>
      </c>
      <c r="D6" s="23" t="inlineStr">
        <is>
          <t>Kiểm tra thành công: Luồng Lọc theo trạng thái = Chờ gán</t>
        </is>
      </c>
      <c r="E6" s="23" t="inlineStr">
        <is>
          <t>Happy</t>
        </is>
      </c>
      <c r="F6" s="23" t="inlineStr">
        <is>
          <t>Smoke</t>
        </is>
      </c>
      <c r="G6" s="23" t="inlineStr">
        <is>
          <t>P1</t>
        </is>
      </c>
      <c r="H6" s="23" t="inlineStr">
        <is>
          <t>1. Dữ liệu có tối thiểu 1 code Chờ gán.</t>
        </is>
      </c>
      <c r="I6" s="23" t="inlineStr">
        <is>
          <t>1) Mở PR.04
2) Mở bộ lọc trạng thái → chọn 'Chờ gán'
3) Áp dụng và quan sát kết quả</t>
        </is>
      </c>
      <c r="J6" s="23" t="inlineStr">
        <is>
          <t>(i) Nghiệp vụ/Logic: Thông tin được xử lý thành công và lưu trữ toàn vẹn dữ liệu.
(ii) UI: Thông báo 'Thao tác thành công'.
(iii) Trạng thái: 'Chờ duyệt' (Maker tạo mới).</t>
        </is>
      </c>
      <c r="K6" s="23" t="inlineStr">
        <is>
          <t>II.5.1.4.1</t>
        </is>
      </c>
      <c r="L6" s="23" t="inlineStr">
        <is>
          <t>BR_02</t>
        </is>
      </c>
      <c r="M6" s="23" t="inlineStr">
        <is>
          <t>BR_02-STA-PEND</t>
        </is>
      </c>
      <c r="N6" s="23" t="n"/>
      <c r="O6" s="23" t="n"/>
      <c r="P6" s="23" t="n"/>
      <c r="Q6" s="23" t="n"/>
      <c r="R6" s="23" t="n"/>
      <c r="S6" s="23" t="n"/>
      <c r="T6" s="23" t="n"/>
      <c r="U6" s="23">
        <f>IF(R6&lt;&gt;"", R6, O6)</f>
        <v/>
      </c>
    </row>
    <row r="7" ht="64" customHeight="1" s="17">
      <c r="A7" s="23" t="inlineStr">
        <is>
          <t>PR04-BR-05</t>
        </is>
      </c>
      <c r="B7" s="23" t="inlineStr">
        <is>
          <t>PR04</t>
        </is>
      </c>
      <c r="C7" s="23" t="inlineStr">
        <is>
          <t>Danh sách Code phí chưa sử dụng</t>
        </is>
      </c>
      <c r="D7" s="23" t="inlineStr">
        <is>
          <t>Kiểm tra thành công: Luồng Lọc theo trạng thái = Ngừng hoạt động</t>
        </is>
      </c>
      <c r="E7" s="23" t="inlineStr">
        <is>
          <t>Happy</t>
        </is>
      </c>
      <c r="F7" s="23" t="inlineStr">
        <is>
          <t>Regression</t>
        </is>
      </c>
      <c r="G7" s="23" t="inlineStr">
        <is>
          <t>P2</t>
        </is>
      </c>
      <c r="H7" s="23" t="inlineStr">
        <is>
          <t>1. Dữ liệu có code Ngừng hoạt động.</t>
        </is>
      </c>
      <c r="I7" s="23" t="inlineStr">
        <is>
          <t>1) Mở PR.04
2) Lọc trạng thái 'Ngừng hoạt động'
3) Quan sát lưới</t>
        </is>
      </c>
      <c r="J7" s="23" t="inlineStr">
        <is>
          <t>(i) Nghiệp vụ/Logic: Thông tin được xử lý thành công và lưu trữ toàn vẹn dữ liệu.
(ii) UI: Thông báo 'Thao tác thành công'.
(iii) Trạng thái: 'Chờ duyệt' (Maker tạo mới).</t>
        </is>
      </c>
      <c r="K7" s="23" t="inlineStr">
        <is>
          <t>II.5.1.4.1</t>
        </is>
      </c>
      <c r="L7" s="23" t="inlineStr">
        <is>
          <t>BR_02</t>
        </is>
      </c>
      <c r="M7" s="23" t="inlineStr">
        <is>
          <t>BR_02-STA-INACT</t>
        </is>
      </c>
      <c r="N7" s="23" t="n"/>
      <c r="O7" s="23" t="n"/>
      <c r="P7" s="23" t="n"/>
      <c r="Q7" s="23" t="n"/>
      <c r="R7" s="23" t="n"/>
      <c r="S7" s="23" t="n"/>
      <c r="T7" s="23" t="n"/>
      <c r="U7" s="23">
        <f>IF(R7&lt;&gt;"", R7, O7)</f>
        <v/>
      </c>
    </row>
    <row r="8" ht="64" customHeight="1" s="17">
      <c r="A8" s="23" t="inlineStr">
        <is>
          <t>PR04-BR-06</t>
        </is>
      </c>
      <c r="B8" s="23" t="inlineStr">
        <is>
          <t>PR04</t>
        </is>
      </c>
      <c r="C8" s="23" t="inlineStr">
        <is>
          <t>Danh sách Code phí chưa sử dụng</t>
        </is>
      </c>
      <c r="D8" s="23" t="inlineStr">
        <is>
          <t>Kiểm tra thành công: Luồng Lọc theo trạng thái = Hủy</t>
        </is>
      </c>
      <c r="E8" s="23" t="inlineStr">
        <is>
          <t>Happy</t>
        </is>
      </c>
      <c r="F8" s="23" t="inlineStr">
        <is>
          <t>Regression</t>
        </is>
      </c>
      <c r="G8" s="23" t="inlineStr">
        <is>
          <t>P2</t>
        </is>
      </c>
      <c r="H8" s="23" t="inlineStr">
        <is>
          <t>1. Dữ liệu có code Hủy.</t>
        </is>
      </c>
      <c r="I8" s="23" t="inlineStr">
        <is>
          <t>1) Mở PR.04
2) Lọc trạng thái 'Hủy'
3) Quan sát lưới</t>
        </is>
      </c>
      <c r="J8" s="23" t="inlineStr">
        <is>
          <t>(i) Nghiệp vụ/Logic: Thông tin được xử lý thành công và lưu trữ toàn vẹn dữ liệu.
(ii) UI: Thông báo 'Thao tác thành công'.
(iii) Trạng thái: 'Chờ duyệt' (Maker tạo mới).</t>
        </is>
      </c>
      <c r="K8" s="23" t="inlineStr">
        <is>
          <t>II.5.1.4.1</t>
        </is>
      </c>
      <c r="L8" s="23" t="inlineStr">
        <is>
          <t>BR_02</t>
        </is>
      </c>
      <c r="M8" s="23" t="inlineStr">
        <is>
          <t>BR_02-STA-CANCEL</t>
        </is>
      </c>
      <c r="N8" s="23" t="n"/>
      <c r="O8" s="23" t="n"/>
      <c r="P8" s="23" t="n"/>
      <c r="Q8" s="23" t="n"/>
      <c r="R8" s="23" t="n"/>
      <c r="S8" s="23" t="n"/>
      <c r="T8" s="23" t="n"/>
      <c r="U8" s="23">
        <f>IF(R8&lt;&gt;"", R8, O8)</f>
        <v/>
      </c>
    </row>
    <row r="9" ht="64" customHeight="1" s="17">
      <c r="A9" s="23" t="inlineStr">
        <is>
          <t>PR04-BR-07</t>
        </is>
      </c>
      <c r="B9" s="23" t="inlineStr">
        <is>
          <t>PR04</t>
        </is>
      </c>
      <c r="C9" s="23" t="inlineStr">
        <is>
          <t>Danh sách Code phí chưa sử dụng</t>
        </is>
      </c>
      <c r="D9" s="23" t="inlineStr">
        <is>
          <t>Kiểm tra thành công: Luồng Tổ hợp lọc theo Mã code (chứa ký tự) và Trạng thái Chờ gán</t>
        </is>
      </c>
      <c r="E9" s="23" t="inlineStr">
        <is>
          <t>Happy</t>
        </is>
      </c>
      <c r="F9" s="23" t="inlineStr">
        <is>
          <t>Regression</t>
        </is>
      </c>
      <c r="G9" s="23" t="inlineStr">
        <is>
          <t>P2</t>
        </is>
      </c>
      <c r="H9" s="23" t="inlineStr">
        <is>
          <t>1. Có ít nhất 1 code 'Chờ gán' chứa chuỗi 'ABC'.</t>
        </is>
      </c>
      <c r="I9" s="23" t="inlineStr">
        <is>
          <t>1) Mở PR.04
2) Nhập từ khóa 'ABC' tại ô mã code
3) Chọn trạng thái 'Chờ gán' và áp dụng</t>
        </is>
      </c>
      <c r="J9" s="23" t="inlineStr">
        <is>
          <t>(i) Nghiệp vụ/Logic: Thông tin được xử lý thành công và lưu trữ toàn vẹn dữ liệu.
(ii) UI: Thông báo 'Thao tác thành công'.
(iii) Trạng thái: 'Chờ duyệt' (Maker tạo mới).</t>
        </is>
      </c>
      <c r="K9" s="23" t="inlineStr">
        <is>
          <t>II.5.1.4.1</t>
        </is>
      </c>
      <c r="L9" s="23" t="inlineStr">
        <is>
          <t>BR_03</t>
        </is>
      </c>
      <c r="M9" s="23" t="inlineStr">
        <is>
          <t>BR_03-FIL-AND</t>
        </is>
      </c>
      <c r="N9" s="23" t="n"/>
      <c r="O9" s="23" t="n"/>
      <c r="P9" s="23" t="n"/>
      <c r="Q9" s="23" t="n"/>
      <c r="R9" s="23" t="n"/>
      <c r="S9" s="23" t="n"/>
      <c r="T9" s="23" t="n"/>
      <c r="U9" s="23">
        <f>IF(R9&lt;&gt;"", R9, O9)</f>
        <v/>
      </c>
    </row>
    <row r="10" ht="64" customHeight="1" s="17">
      <c r="A10" s="23" t="inlineStr">
        <is>
          <t>PR04-BR-08</t>
        </is>
      </c>
      <c r="B10" s="23" t="inlineStr">
        <is>
          <t>PR04</t>
        </is>
      </c>
      <c r="C10" s="23" t="inlineStr">
        <is>
          <t>Danh sách Code phí chưa sử dụng</t>
        </is>
      </c>
      <c r="D10" s="23" t="inlineStr">
        <is>
          <t>Kiểm tra thành công: Luồng Làm mới bộ lọc (Clear filter) phải đưa lưới về trạng thái mặc định</t>
        </is>
      </c>
      <c r="E10" s="23" t="inlineStr">
        <is>
          <t>Happy</t>
        </is>
      </c>
      <c r="F10" s="23" t="inlineStr">
        <is>
          <t>Regression</t>
        </is>
      </c>
      <c r="G10" s="23" t="inlineStr">
        <is>
          <t>P3</t>
        </is>
      </c>
      <c r="H10" s="23" t="inlineStr">
        <is>
          <t>1. Đã áp dụng một hoặc nhiều bộ lọc.</t>
        </is>
      </c>
      <c r="I10" s="23" t="inlineStr">
        <is>
          <t>1) Tại PR.04 đang có bộ lọc
2) Nhấn 'Xóa lọc'/'Làm mới'
3) Quan sát lưới</t>
        </is>
      </c>
      <c r="J10" s="23" t="inlineStr">
        <is>
          <t>(i) Nghiệp vụ/Logic: Thông tin được xử lý thành công và lưu trữ toàn vẹn dữ liệu.
(ii) UI: Thông báo 'Thao tác thành công'.
(iii) Trạng thái: 'Chờ duyệt' (Maker tạo mới).</t>
        </is>
      </c>
      <c r="K10" s="23" t="inlineStr">
        <is>
          <t>II.5.1.4.1</t>
        </is>
      </c>
      <c r="L10" s="23" t="inlineStr">
        <is>
          <t>BR_03</t>
        </is>
      </c>
      <c r="M10" s="23" t="inlineStr">
        <is>
          <t>BR_03-FIL-CLR</t>
        </is>
      </c>
      <c r="N10" s="23" t="n"/>
      <c r="O10" s="23" t="n"/>
      <c r="P10" s="23" t="n"/>
      <c r="Q10" s="23" t="n"/>
      <c r="R10" s="23" t="n"/>
      <c r="S10" s="23" t="n"/>
      <c r="T10" s="23" t="n"/>
      <c r="U10" s="23">
        <f>IF(R10&lt;&gt;"", R10, O10)</f>
        <v/>
      </c>
    </row>
    <row r="11" ht="64" customHeight="1" s="17">
      <c r="A11" s="23" t="inlineStr">
        <is>
          <t>PR04-BR-09</t>
        </is>
      </c>
      <c r="B11" s="23" t="inlineStr">
        <is>
          <t>PR04</t>
        </is>
      </c>
      <c r="C11" s="23" t="inlineStr">
        <is>
          <t>Danh sách Code phí chưa sử dụng</t>
        </is>
      </c>
      <c r="D11" s="23" t="inlineStr">
        <is>
          <t>Kiểm tra biên: Xác minh giới hạn của Tìm kiếm không phân biệt hoa/thường (case-insensitive)</t>
        </is>
      </c>
      <c r="E11" s="23" t="inlineStr">
        <is>
          <t>Boundary</t>
        </is>
      </c>
      <c r="F11" s="23" t="inlineStr">
        <is>
          <t>Regression</t>
        </is>
      </c>
      <c r="G11" s="23" t="inlineStr">
        <is>
          <t>P3</t>
        </is>
      </c>
      <c r="H11" s="23" t="inlineStr">
        <is>
          <t>1. Hệ thống hỗ trợ tìm kiếm dạng contains.</t>
        </is>
      </c>
      <c r="I11" s="23" t="inlineStr">
        <is>
          <t>1) Mở PR.04
2) Nhập từ khóa 'abc' và quan sát
3) Nhập 'ABC' và so sánh</t>
        </is>
      </c>
      <c r="J11" s="23" t="inlineStr">
        <is>
          <t>(i) Nghiệp vụ/Logic: Hệ thống xử lý đúng quy định tại giá trị biên (Min/Max/Limit).
(ii) UI: Hiển thị thông báo hoặc trạng thái tương ứng.
(iii) Trạng thái: Lưu hoặc Chặn tùy quy định.</t>
        </is>
      </c>
      <c r="K11" s="23" t="inlineStr">
        <is>
          <t>II.5.1.4.1</t>
        </is>
      </c>
      <c r="L11" s="23" t="inlineStr">
        <is>
          <t>BR_03</t>
        </is>
      </c>
      <c r="M11" s="23" t="inlineStr">
        <is>
          <t>BR_03-FIL-CASE</t>
        </is>
      </c>
      <c r="N11" s="23" t="n"/>
      <c r="O11" s="23" t="n"/>
      <c r="P11" s="23" t="n"/>
      <c r="Q11" s="23" t="n"/>
      <c r="R11" s="23" t="n"/>
      <c r="S11" s="23" t="n"/>
      <c r="T11" s="23" t="n"/>
      <c r="U11" s="23">
        <f>IF(R11&lt;&gt;"", R11, O11)</f>
        <v/>
      </c>
    </row>
    <row r="12" ht="96" customHeight="1" s="17">
      <c r="A12" s="23" t="inlineStr">
        <is>
          <t>PR04-BR-10</t>
        </is>
      </c>
      <c r="B12" s="23" t="inlineStr">
        <is>
          <t>PR04</t>
        </is>
      </c>
      <c r="C12" s="23" t="inlineStr">
        <is>
          <t>Danh sách Code phí chưa sử dụng</t>
        </is>
      </c>
      <c r="D12" s="23" t="inlineStr">
        <is>
          <t>Kiểm tra lỗi: Chặn và báo lỗi khi Không trả về dữ liệu khi điều kiện lọc mâu thuẫn</t>
        </is>
      </c>
      <c r="E12" s="23" t="inlineStr">
        <is>
          <t>Negative</t>
        </is>
      </c>
      <c r="F12" s="23" t="inlineStr">
        <is>
          <t>Regression</t>
        </is>
      </c>
      <c r="G12" s="23" t="inlineStr">
        <is>
          <t>P3</t>
        </is>
      </c>
      <c r="H12" s="23" t="inlineStr">
        <is>
          <t>1. Thiết lập 2 điều kiện xung đột.</t>
        </is>
      </c>
      <c r="I12" s="23" t="inlineStr">
        <is>
          <t>1) Mở PR.04
2) Lọc trạng thái 'Hủy' + nhập mã code không tồn tại
3) Áp dụng</t>
        </is>
      </c>
      <c r="J12"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2" s="23" t="inlineStr">
        <is>
          <t>II.5.1.4.1</t>
        </is>
      </c>
      <c r="L12" s="23" t="inlineStr">
        <is>
          <t>BR_03</t>
        </is>
      </c>
      <c r="M12" s="23" t="inlineStr">
        <is>
          <t>BR_03-FIL-CONF</t>
        </is>
      </c>
      <c r="N12" s="23" t="n"/>
      <c r="O12" s="23" t="n"/>
      <c r="P12" s="23" t="n"/>
      <c r="Q12" s="23" t="n"/>
      <c r="R12" s="23" t="n"/>
      <c r="S12" s="23" t="n"/>
      <c r="T12" s="23" t="n"/>
      <c r="U12" s="23">
        <f>IF(R12&lt;&gt;"", R12, O12)</f>
        <v/>
      </c>
    </row>
    <row r="13" ht="64" customHeight="1" s="17">
      <c r="A13" s="23" t="inlineStr">
        <is>
          <t>PR04-BR-11</t>
        </is>
      </c>
      <c r="B13" s="23" t="inlineStr">
        <is>
          <t>PR04</t>
        </is>
      </c>
      <c r="C13" s="23" t="inlineStr">
        <is>
          <t>Danh sách Code phí chưa sử dụng</t>
        </is>
      </c>
      <c r="D13" s="23" t="inlineStr">
        <is>
          <t>Kiểm tra thành công: Luồng Hiển thị chi tiết bản ghi ở chế độ Chỉ đọc (Read-only)</t>
        </is>
      </c>
      <c r="E13" s="23" t="inlineStr">
        <is>
          <t>Happy</t>
        </is>
      </c>
      <c r="F13" s="23" t="inlineStr">
        <is>
          <t>Smoke</t>
        </is>
      </c>
      <c r="G13" s="23" t="inlineStr">
        <is>
          <t>P1</t>
        </is>
      </c>
      <c r="H13" s="23" t="inlineStr">
        <is>
          <t>1. Có ít nhất 1 bản ghi trong lưới.</t>
        </is>
      </c>
      <c r="I13" s="23" t="inlineStr">
        <is>
          <t>1) Mở PR.04
2) Chọn 1 dòng → nhấn 'Xem'
3) Quan sát form chi tiết</t>
        </is>
      </c>
      <c r="J13" s="23" t="inlineStr">
        <is>
          <t>(i) Nghiệp vụ/Logic: Thông tin được xử lý thành công và lưu trữ toàn vẹn dữ liệu.
(ii) UI: Thông báo 'Thao tác thành công'.
(iii) Trạng thái: 'Chờ duyệt' (Maker tạo mới).</t>
        </is>
      </c>
      <c r="K13" s="23" t="inlineStr">
        <is>
          <t>II.5.1.4.1</t>
        </is>
      </c>
      <c r="L13" s="23" t="inlineStr">
        <is>
          <t>BR_04</t>
        </is>
      </c>
      <c r="M13" s="23" t="inlineStr">
        <is>
          <t>BR_04-VIEW</t>
        </is>
      </c>
      <c r="N13" s="23" t="n"/>
      <c r="O13" s="23" t="n"/>
      <c r="P13" s="23" t="n"/>
      <c r="Q13" s="23" t="n"/>
      <c r="R13" s="23" t="n"/>
      <c r="S13" s="23" t="n"/>
      <c r="T13" s="23" t="n"/>
      <c r="U13" s="23">
        <f>IF(R13&lt;&gt;"", R13, O13)</f>
        <v/>
      </c>
    </row>
    <row r="14" ht="96" customHeight="1" s="17">
      <c r="A14" s="23" t="inlineStr">
        <is>
          <t>PR04-BR-12</t>
        </is>
      </c>
      <c r="B14" s="23" t="inlineStr">
        <is>
          <t>PR04</t>
        </is>
      </c>
      <c r="C14" s="23" t="inlineStr">
        <is>
          <t>Danh sách Code phí chưa sử dụng</t>
        </is>
      </c>
      <c r="D14" s="23" t="inlineStr">
        <is>
          <t>Kiểm tra lỗi: Chặn và báo lỗi khi Không cho phép mở 'Xem' khi chưa chọn dòng</t>
        </is>
      </c>
      <c r="E14" s="23" t="inlineStr">
        <is>
          <t>Negative</t>
        </is>
      </c>
      <c r="F14" s="23" t="inlineStr">
        <is>
          <t>Regression</t>
        </is>
      </c>
      <c r="G14" s="23" t="inlineStr">
        <is>
          <t>P2</t>
        </is>
      </c>
      <c r="H14" s="23" t="inlineStr">
        <is>
          <t>1. Không chọn dòng nào.</t>
        </is>
      </c>
      <c r="I14" s="23" t="inlineStr">
        <is>
          <t>1) Mở PR.04
2) Không chọn dòng
3) Nhấn 'Xem'</t>
        </is>
      </c>
      <c r="J14"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4" s="23" t="inlineStr">
        <is>
          <t>II.5.1.4.1</t>
        </is>
      </c>
      <c r="L14" s="23" t="inlineStr">
        <is>
          <t>BR_04</t>
        </is>
      </c>
      <c r="M14" s="23" t="inlineStr">
        <is>
          <t>BR_04-VIEW-NOSEL</t>
        </is>
      </c>
      <c r="N14" s="23" t="n"/>
      <c r="O14" s="23" t="n"/>
      <c r="P14" s="23" t="n"/>
      <c r="Q14" s="23" t="n"/>
      <c r="R14" s="23" t="n"/>
      <c r="S14" s="23" t="n"/>
      <c r="T14" s="23" t="n"/>
      <c r="U14" s="23">
        <f>IF(R14&lt;&gt;"", R14, O14)</f>
        <v/>
      </c>
    </row>
    <row r="15" ht="64" customHeight="1" s="17">
      <c r="A15" s="23" t="inlineStr">
        <is>
          <t>PR04-BR-13</t>
        </is>
      </c>
      <c r="B15" s="23" t="inlineStr">
        <is>
          <t>PR04</t>
        </is>
      </c>
      <c r="C15" s="23" t="inlineStr">
        <is>
          <t>Danh sách Code phí chưa sử dụng</t>
        </is>
      </c>
      <c r="D15" s="23" t="inlineStr">
        <is>
          <t>Kiểm tra thành công: Luồng File tải xuống phải phản ánh đúng và đủ dữ liệu đang hiển thị trên lưới</t>
        </is>
      </c>
      <c r="E15" s="23" t="inlineStr">
        <is>
          <t>Happy</t>
        </is>
      </c>
      <c r="F15" s="23" t="inlineStr">
        <is>
          <t>Smoke</t>
        </is>
      </c>
      <c r="G15" s="23" t="inlineStr">
        <is>
          <t>P1</t>
        </is>
      </c>
      <c r="H15" s="23" t="inlineStr">
        <is>
          <t>1. Có dữ liệu trên lưới.</t>
        </is>
      </c>
      <c r="I15" s="23" t="inlineStr">
        <is>
          <t>1) Mở PR.04
2) Nhấn 'Tải xuống'
3) Mở file kết quả để đối chiếu</t>
        </is>
      </c>
      <c r="J15" s="23" t="inlineStr">
        <is>
          <t>(i) Nghiệp vụ/Logic: Thông tin được xử lý thành công và lưu trữ toàn vẹn dữ liệu.
(ii) UI: Thông báo 'Thao tác thành công'.
(iii) Trạng thái: 'Chờ duyệt' (Maker tạo mới).</t>
        </is>
      </c>
      <c r="K15" s="23" t="inlineStr">
        <is>
          <t>II.5.1.4.1</t>
        </is>
      </c>
      <c r="L15" s="23" t="inlineStr">
        <is>
          <t>BR_05</t>
        </is>
      </c>
      <c r="M15" s="23" t="inlineStr">
        <is>
          <t>BR_05-EXP-ALL</t>
        </is>
      </c>
      <c r="N15" s="23" t="n"/>
      <c r="O15" s="23" t="n"/>
      <c r="P15" s="23" t="n"/>
      <c r="Q15" s="23" t="n"/>
      <c r="R15" s="23" t="n"/>
      <c r="S15" s="23" t="n"/>
      <c r="T15" s="23" t="n"/>
      <c r="U15" s="23">
        <f>IF(R15&lt;&gt;"", R15, O15)</f>
        <v/>
      </c>
    </row>
    <row r="16" ht="64" customHeight="1" s="17">
      <c r="A16" s="23" t="inlineStr">
        <is>
          <t>PR04-BR-14</t>
        </is>
      </c>
      <c r="B16" s="23" t="inlineStr">
        <is>
          <t>PR04</t>
        </is>
      </c>
      <c r="C16" s="23" t="inlineStr">
        <is>
          <t>Danh sách Code phí chưa sử dụng</t>
        </is>
      </c>
      <c r="D16" s="23" t="inlineStr">
        <is>
          <t>Kiểm tra thành công: Luồng Tải xuống sau khi lọc (áp dụng filter)</t>
        </is>
      </c>
      <c r="E16" s="23" t="inlineStr">
        <is>
          <t>Happy</t>
        </is>
      </c>
      <c r="F16" s="23" t="inlineStr">
        <is>
          <t>Regression</t>
        </is>
      </c>
      <c r="G16" s="23" t="inlineStr">
        <is>
          <t>P2</t>
        </is>
      </c>
      <c r="H16" s="23" t="inlineStr">
        <is>
          <t>1. Đang bật một bộ lọc bất kỳ.</t>
        </is>
      </c>
      <c r="I16" s="23" t="inlineStr">
        <is>
          <t>1) Mở PR.04 và áp dụng bộ lọc
2) Nhấn 'Tải xuống'
3) Đối chiếu file</t>
        </is>
      </c>
      <c r="J16" s="23" t="inlineStr">
        <is>
          <t>(i) Nghiệp vụ/Logic: Thông tin được xử lý thành công và lưu trữ toàn vẹn dữ liệu.
(ii) UI: Thông báo 'Thao tác thành công'.
(iii) Trạng thái: 'Chờ duyệt' (Maker tạo mới).</t>
        </is>
      </c>
      <c r="K16" s="23" t="inlineStr">
        <is>
          <t>II.5.1.4.1</t>
        </is>
      </c>
      <c r="L16" s="23" t="inlineStr">
        <is>
          <t>BR_05</t>
        </is>
      </c>
      <c r="M16" s="23" t="inlineStr">
        <is>
          <t>BR_05-EXP-FIL</t>
        </is>
      </c>
      <c r="N16" s="23" t="n"/>
      <c r="O16" s="23" t="n"/>
      <c r="P16" s="23" t="n"/>
      <c r="Q16" s="23" t="n"/>
      <c r="R16" s="23" t="n"/>
      <c r="S16" s="23" t="n"/>
      <c r="T16" s="23" t="n"/>
      <c r="U16" s="23">
        <f>IF(R16&lt;&gt;"", R16, O16)</f>
        <v/>
      </c>
    </row>
    <row r="17" ht="96" customHeight="1" s="17">
      <c r="A17" s="23" t="inlineStr">
        <is>
          <t>PR04-BR-15</t>
        </is>
      </c>
      <c r="B17" s="23" t="inlineStr">
        <is>
          <t>PR04</t>
        </is>
      </c>
      <c r="C17" s="23" t="inlineStr">
        <is>
          <t>Danh sách Code phí chưa sử dụng</t>
        </is>
      </c>
      <c r="D17" s="23" t="inlineStr">
        <is>
          <t>Kiểm tra lỗi: Chặn và báo lỗi khi Tải xuống bị chặn khi không có dữ liệu</t>
        </is>
      </c>
      <c r="E17" s="23" t="inlineStr">
        <is>
          <t>Negative</t>
        </is>
      </c>
      <c r="F17" s="23" t="inlineStr">
        <is>
          <t>Regression</t>
        </is>
      </c>
      <c r="G17" s="23" t="inlineStr">
        <is>
          <t>P3</t>
        </is>
      </c>
      <c r="H17" s="23" t="inlineStr">
        <is>
          <t>1. Lưới rỗng (theo BR_03).</t>
        </is>
      </c>
      <c r="I17" s="23" t="inlineStr">
        <is>
          <t>1) Ở trạng thái không có dữ liệu
2) Nhấn 'Tải xuống'
3) Quan sát phản hồi</t>
        </is>
      </c>
      <c r="J17"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17" s="23" t="inlineStr">
        <is>
          <t>II.5.1.4.1</t>
        </is>
      </c>
      <c r="L17" s="23" t="inlineStr">
        <is>
          <t>BR_05</t>
        </is>
      </c>
      <c r="M17" s="23" t="inlineStr">
        <is>
          <t>BR_05-EXP-EMPTY</t>
        </is>
      </c>
      <c r="N17" s="23" t="n"/>
      <c r="O17" s="23" t="n"/>
      <c r="P17" s="23" t="n"/>
      <c r="Q17" s="23" t="n"/>
      <c r="R17" s="23" t="n"/>
      <c r="S17" s="23" t="n"/>
      <c r="T17" s="23" t="n"/>
      <c r="U17" s="23">
        <f>IF(R17&lt;&gt;"", R17, O17)</f>
        <v/>
      </c>
    </row>
    <row r="18" ht="64" customHeight="1" s="17">
      <c r="A18" s="23" t="inlineStr">
        <is>
          <t>PR04-BR-16</t>
        </is>
      </c>
      <c r="B18" s="23" t="inlineStr">
        <is>
          <t>PR04</t>
        </is>
      </c>
      <c r="C18" s="23" t="inlineStr">
        <is>
          <t>Danh sách Code phí chưa sử dụng</t>
        </is>
      </c>
      <c r="D18" s="23" t="inlineStr">
        <is>
          <t>Kiểm tra biên: Xác minh giới hạn của tải trang trong giới hạn khi dữ liệu lớn</t>
        </is>
      </c>
      <c r="E18" s="23" t="inlineStr">
        <is>
          <t>Boundary</t>
        </is>
      </c>
      <c r="F18" s="23" t="inlineStr">
        <is>
          <t>Regression</t>
        </is>
      </c>
      <c r="G18" s="23" t="inlineStr">
        <is>
          <t>P3</t>
        </is>
      </c>
      <c r="H18" s="23" t="inlineStr">
        <is>
          <t>1. Seed dữ liệu ≥ 10 000 bản ghi thoả điều kiện.</t>
        </is>
      </c>
      <c r="I18" s="23" t="inlineStr">
        <is>
          <t>1) Mở PR.04
2) Đo thời gian tải trang/lần đổi trang
3) Ghi nhận kết quả</t>
        </is>
      </c>
      <c r="J18" s="23" t="inlineStr">
        <is>
          <t>(i) Nghiệp vụ/Logic: Hệ thống xử lý đúng quy định tại giá trị biên (Min/Max/Limit).
(ii) UI: Hiển thị thông báo hoặc trạng thái tương ứng.
(iii) Trạng thái: Lưu hoặc Chặn tùy quy định.</t>
        </is>
      </c>
      <c r="K18" s="23" t="inlineStr">
        <is>
          <t>II.5.1.4.2</t>
        </is>
      </c>
      <c r="L18" s="23" t="inlineStr">
        <is>
          <t>BR_06</t>
        </is>
      </c>
      <c r="M18" s="23" t="inlineStr">
        <is>
          <t>BR_06-PERF</t>
        </is>
      </c>
      <c r="N18" s="23" t="n"/>
      <c r="O18" s="23" t="n"/>
      <c r="P18" s="23" t="n"/>
      <c r="Q18" s="23" t="n"/>
      <c r="R18" s="23" t="n"/>
      <c r="S18" s="23" t="n"/>
      <c r="T18" s="23" t="n"/>
      <c r="U18" s="23">
        <f>IF(R18&lt;&gt;"", R18, O18)</f>
        <v/>
      </c>
    </row>
    <row r="19" ht="64" customHeight="1" s="17">
      <c r="A19" s="23" t="inlineStr">
        <is>
          <t>PR04-UI-01</t>
        </is>
      </c>
      <c r="B19" s="23" t="inlineStr">
        <is>
          <t>PR04</t>
        </is>
      </c>
      <c r="C19" s="23" t="inlineStr">
        <is>
          <t>UI – Xem</t>
        </is>
      </c>
      <c r="D19" s="23" t="inlineStr">
        <is>
          <t>Kiểm tra thành công: Luồng Xem – mở form/điều hướng – Happy</t>
        </is>
      </c>
      <c r="E19" s="23" t="inlineStr">
        <is>
          <t>Happy</t>
        </is>
      </c>
      <c r="F19" s="23" t="inlineStr">
        <is>
          <t>Smoke</t>
        </is>
      </c>
      <c r="G19" s="23" t="inlineStr">
        <is>
          <t>P2</t>
        </is>
      </c>
      <c r="H19" s="23" t="inlineStr">
        <is>
          <t>1. Có dữ liệu trên lưới.</t>
        </is>
      </c>
      <c r="I19" s="23" t="inlineStr">
        <is>
          <t>1) Mở PR.04
2) Chọn 1 dòng → nhấn 'Xem'
3) Quan sát form hiển thị</t>
        </is>
      </c>
      <c r="J19" s="23" t="inlineStr">
        <is>
          <t>(i) Nghiệp vụ/Logic: Thông tin được xử lý thành công và lưu trữ toàn vẹn dữ liệu.
(ii) UI: Thông báo 'Thao tác thành công'.
(iii) Trạng thái: 'Chờ duyệt' (Maker tạo mới).</t>
        </is>
      </c>
      <c r="K19" s="23" t="inlineStr">
        <is>
          <t>II.5.1.4.1</t>
        </is>
      </c>
      <c r="L19" s="23" t="inlineStr">
        <is>
          <t>UI-FUNC.01</t>
        </is>
      </c>
      <c r="M19" s="23" t="inlineStr">
        <is>
          <t>UI-01-OPEN</t>
        </is>
      </c>
      <c r="N19" s="23" t="n"/>
      <c r="O19" s="23" t="n"/>
      <c r="P19" s="23" t="n"/>
      <c r="Q19" s="23" t="n"/>
      <c r="R19" s="23" t="n"/>
      <c r="S19" s="23" t="n"/>
      <c r="T19" s="23" t="n"/>
      <c r="U19" s="23">
        <f>IF(R19&lt;&gt;"", R19, O19)</f>
        <v/>
      </c>
    </row>
    <row r="20" ht="64" customHeight="1" s="17">
      <c r="A20" s="23" t="inlineStr">
        <is>
          <t>PR04-UI-02</t>
        </is>
      </c>
      <c r="B20" s="23" t="inlineStr">
        <is>
          <t>PR04</t>
        </is>
      </c>
      <c r="C20" s="23" t="inlineStr">
        <is>
          <t>UI – Xem</t>
        </is>
      </c>
      <c r="D20" s="23" t="inlineStr">
        <is>
          <t>Kiểm tra nút Đóng: Đảm bảo không lưu dữ liệu và thoát form</t>
        </is>
      </c>
      <c r="E20" s="23" t="inlineStr">
        <is>
          <t>Negative</t>
        </is>
      </c>
      <c r="F20" s="23" t="inlineStr">
        <is>
          <t>Regression</t>
        </is>
      </c>
      <c r="G20" s="23" t="inlineStr">
        <is>
          <t>P3</t>
        </is>
      </c>
      <c r="H20" s="23" t="inlineStr">
        <is>
          <t>1. Đang mở form 'Xem'.</t>
        </is>
      </c>
      <c r="I20" s="23" t="inlineStr">
        <is>
          <t>1) Nhấn 'Đóng' form chi tiết
2) Trở về lưới</t>
        </is>
      </c>
      <c r="J20" s="23" t="inlineStr">
        <is>
          <t>(i) Nghiệp vụ/Logic: Hệ thống không lưu thông tin đã nhập.
(ii) UI: Đóng form quay về màn trước.
(iii) Trạng thái: Không tạo bản ghi chờ duyệt.</t>
        </is>
      </c>
      <c r="K20" s="23" t="inlineStr">
        <is>
          <t>II.5.1.4.1</t>
        </is>
      </c>
      <c r="L20" s="23" t="inlineStr">
        <is>
          <t>UI-FUNC.01</t>
        </is>
      </c>
      <c r="M20" s="23" t="inlineStr">
        <is>
          <t>UI-01-CLOSE</t>
        </is>
      </c>
      <c r="N20" s="23" t="n"/>
      <c r="O20" s="23" t="n"/>
      <c r="P20" s="23" t="n"/>
      <c r="Q20" s="23" t="n"/>
      <c r="R20" s="23" t="n"/>
      <c r="S20" s="23" t="n"/>
      <c r="T20" s="23" t="n"/>
      <c r="U20" s="23">
        <f>IF(R20&lt;&gt;"", R20, O20)</f>
        <v/>
      </c>
    </row>
    <row r="21" ht="15.75" customHeight="1" s="17">
      <c r="A21" s="23" t="inlineStr">
        <is>
          <t>PR04-UI-03</t>
        </is>
      </c>
      <c r="B21" s="23" t="inlineStr">
        <is>
          <t>PR04</t>
        </is>
      </c>
      <c r="C21" s="23" t="inlineStr">
        <is>
          <t>UI – Lọc</t>
        </is>
      </c>
      <c r="D21" s="23" t="inlineStr">
        <is>
          <t>Kiểm tra thành công: Luồng Lọc – mở panel/điều hướng – Happy</t>
        </is>
      </c>
      <c r="E21" s="23" t="inlineStr">
        <is>
          <t>Happy</t>
        </is>
      </c>
      <c r="F21" s="23" t="inlineStr">
        <is>
          <t>Smoke</t>
        </is>
      </c>
      <c r="G21" s="23" t="inlineStr">
        <is>
          <t>P2</t>
        </is>
      </c>
      <c r="H21" s="23" t="inlineStr">
        <is>
          <t>1. Có dữ liệu.</t>
        </is>
      </c>
      <c r="I21" s="23" t="inlineStr">
        <is>
          <t>1) Mở PR.04
2) Nhấn nút 'Lọc'/mở khu vực lọc
3) Quan sát các trường lọc</t>
        </is>
      </c>
      <c r="J21" s="23" t="inlineStr">
        <is>
          <t>(i) Nghiệp vụ/Logic: Thông tin được xử lý thành công và lưu trữ toàn vẹn dữ liệu.
(ii) UI: Thông báo 'Thao tác thành công'.
(iii) Trạng thái: 'Chờ duyệt' (Maker tạo mới).</t>
        </is>
      </c>
      <c r="K21" s="23" t="inlineStr">
        <is>
          <t>II.5.1.4.1</t>
        </is>
      </c>
      <c r="L21" s="23" t="inlineStr">
        <is>
          <t>UI-FUNC.02</t>
        </is>
      </c>
      <c r="M21" s="23" t="inlineStr">
        <is>
          <t>UI-02-OPEN</t>
        </is>
      </c>
      <c r="N21" s="23" t="n"/>
      <c r="O21" s="23" t="n"/>
      <c r="P21" s="23" t="n"/>
      <c r="Q21" s="23" t="n"/>
      <c r="R21" s="23" t="n"/>
      <c r="S21" s="23" t="n"/>
      <c r="T21" s="23" t="n"/>
      <c r="U21" s="23">
        <f>IF(R21&lt;&gt;"", R21, O21)</f>
        <v/>
      </c>
    </row>
    <row r="22" ht="15.75" customHeight="1" s="17">
      <c r="A22" s="23" t="inlineStr">
        <is>
          <t>PR04-UI-04</t>
        </is>
      </c>
      <c r="B22" s="23" t="inlineStr">
        <is>
          <t>PR04</t>
        </is>
      </c>
      <c r="C22" s="23" t="inlineStr">
        <is>
          <t>UI – Lọc</t>
        </is>
      </c>
      <c r="D22" s="23" t="inlineStr">
        <is>
          <t>Kiểm tra thành công: Luồng Lọc – áp dụng/hiển thị chip điều kiện – Happy</t>
        </is>
      </c>
      <c r="E22" s="23" t="inlineStr">
        <is>
          <t>Happy</t>
        </is>
      </c>
      <c r="F22" s="23" t="inlineStr">
        <is>
          <t>Regression</t>
        </is>
      </c>
      <c r="G22" s="23" t="inlineStr">
        <is>
          <t>P2</t>
        </is>
      </c>
      <c r="H22" s="23" t="inlineStr">
        <is>
          <t>1. Có dữ liệu.</t>
        </is>
      </c>
      <c r="I22" s="23" t="inlineStr">
        <is>
          <t>1) Nhập/Chọn giá trị lọc
2) Áp dụng
3) Quan sát chip/nhãn lọc</t>
        </is>
      </c>
      <c r="J22" s="23" t="inlineStr">
        <is>
          <t>(i) Nghiệp vụ/Logic: Thông tin được xử lý thành công và lưu trữ toàn vẹn dữ liệu.
(ii) UI: Thông báo 'Thao tác thành công'.
(iii) Trạng thái: 'Chờ duyệt' (Maker tạo mới).</t>
        </is>
      </c>
      <c r="K22" s="23" t="inlineStr">
        <is>
          <t>II.5.1.4.1</t>
        </is>
      </c>
      <c r="L22" s="23" t="inlineStr">
        <is>
          <t>UI-FUNC.02</t>
        </is>
      </c>
      <c r="M22" s="23" t="inlineStr">
        <is>
          <t>UI-02-APPLY</t>
        </is>
      </c>
      <c r="N22" s="23" t="n"/>
      <c r="O22" s="23" t="n"/>
      <c r="P22" s="23" t="n"/>
      <c r="Q22" s="23" t="n"/>
      <c r="R22" s="23" t="n"/>
      <c r="S22" s="23" t="n"/>
      <c r="T22" s="23" t="n"/>
      <c r="U22" s="23">
        <f>IF(R22&lt;&gt;"", R22, O22)</f>
        <v/>
      </c>
    </row>
    <row r="23" ht="15.75" customHeight="1" s="17">
      <c r="A23" s="23" t="inlineStr">
        <is>
          <t>PR04-UI-05</t>
        </is>
      </c>
      <c r="B23" s="23" t="inlineStr">
        <is>
          <t>PR04</t>
        </is>
      </c>
      <c r="C23" s="23" t="inlineStr">
        <is>
          <t>UI – Lọc</t>
        </is>
      </c>
      <c r="D23" s="23" t="inlineStr">
        <is>
          <t>Kiểm tra thành công: Luồng Lọc – Xóa lọc – Happy</t>
        </is>
      </c>
      <c r="E23" s="23" t="inlineStr">
        <is>
          <t>Happy</t>
        </is>
      </c>
      <c r="F23" s="23" t="inlineStr">
        <is>
          <t>Regression</t>
        </is>
      </c>
      <c r="G23" s="23" t="inlineStr">
        <is>
          <t>P3</t>
        </is>
      </c>
      <c r="H23" s="23" t="inlineStr">
        <is>
          <t>1. Đang bật filter.</t>
        </is>
      </c>
      <c r="I23" s="23" t="inlineStr">
        <is>
          <t>1) Nhấn 'Xóa lọc'
2) Quan sát lưới</t>
        </is>
      </c>
      <c r="J23" s="23" t="inlineStr">
        <is>
          <t>(i) Nghiệp vụ/Logic: Thông tin được xử lý thành công và lưu trữ toàn vẹn dữ liệu.
(ii) UI: Thông báo 'Thao tác thành công'.
(iii) Trạng thái: 'Chờ duyệt' (Maker tạo mới).</t>
        </is>
      </c>
      <c r="K23" s="23" t="inlineStr">
        <is>
          <t>II.5.1.4.1</t>
        </is>
      </c>
      <c r="L23" s="23" t="inlineStr">
        <is>
          <t>UI-FUNC.02</t>
        </is>
      </c>
      <c r="M23" s="23" t="inlineStr">
        <is>
          <t>UI-02-CLEAR</t>
        </is>
      </c>
      <c r="N23" s="23" t="n"/>
      <c r="O23" s="23" t="n"/>
      <c r="P23" s="23" t="n"/>
      <c r="Q23" s="23" t="n"/>
      <c r="R23" s="23" t="n"/>
      <c r="S23" s="23" t="n"/>
      <c r="T23" s="23" t="n"/>
      <c r="U23" s="23">
        <f>IF(R23&lt;&gt;"", R23, O23)</f>
        <v/>
      </c>
    </row>
    <row r="24" ht="15.75" customHeight="1" s="17">
      <c r="A24" s="23" t="inlineStr">
        <is>
          <t>PR04-UI-06</t>
        </is>
      </c>
      <c r="B24" s="23" t="inlineStr">
        <is>
          <t>PR04</t>
        </is>
      </c>
      <c r="C24" s="23" t="inlineStr">
        <is>
          <t>UI – Lọc</t>
        </is>
      </c>
      <c r="D24" s="23" t="inlineStr">
        <is>
          <t>Kiểm tra biên: Xác minh giới hạn của Lọc – điều kiện mâu thuẫn – Boundary</t>
        </is>
      </c>
      <c r="E24" s="23" t="inlineStr">
        <is>
          <t>Boundary</t>
        </is>
      </c>
      <c r="F24" s="23" t="inlineStr">
        <is>
          <t>Regression</t>
        </is>
      </c>
      <c r="G24" s="23" t="inlineStr">
        <is>
          <t>P3</t>
        </is>
      </c>
      <c r="H24" s="23" t="inlineStr">
        <is>
          <t>1. Nhập 2 điều kiện xung đột.</t>
        </is>
      </c>
      <c r="I24" s="23" t="inlineStr">
        <is>
          <t>1) Mở khối lọc
2) Nhập điều kiện mâu thuẫn
3) Áp dụng</t>
        </is>
      </c>
      <c r="J24" s="23" t="inlineStr">
        <is>
          <t>(i) Nghiệp vụ/Logic: Hệ thống xử lý đúng quy định tại giá trị biên (Min/Max/Limit).
(ii) UI: Hiển thị thông báo hoặc trạng thái tương ứng.
(iii) Trạng thái: Lưu hoặc Chặn tùy quy định.</t>
        </is>
      </c>
      <c r="K24" s="23" t="inlineStr">
        <is>
          <t>II.5.1.4.1</t>
        </is>
      </c>
      <c r="L24" s="23" t="inlineStr">
        <is>
          <t>UI-FUNC.02</t>
        </is>
      </c>
      <c r="M24" s="23" t="inlineStr">
        <is>
          <t>UI-02-CONFLICT</t>
        </is>
      </c>
      <c r="N24" s="23" t="n"/>
      <c r="O24" s="23" t="n"/>
      <c r="P24" s="23" t="n"/>
      <c r="Q24" s="23" t="n"/>
      <c r="R24" s="23" t="n"/>
      <c r="S24" s="23" t="n"/>
      <c r="T24" s="23" t="n"/>
      <c r="U24" s="23">
        <f>IF(R24&lt;&gt;"", R24, O24)</f>
        <v/>
      </c>
    </row>
    <row r="25" ht="15.75" customHeight="1" s="17">
      <c r="A25" s="23" t="inlineStr">
        <is>
          <t>PR04-UI-07</t>
        </is>
      </c>
      <c r="B25" s="23" t="inlineStr">
        <is>
          <t>PR04</t>
        </is>
      </c>
      <c r="C25" s="23" t="inlineStr">
        <is>
          <t>UI – Tải xuống</t>
        </is>
      </c>
      <c r="D25" s="23" t="inlineStr">
        <is>
          <t>Kiểm tra thành công: Luồng Tải xuống – mở form/điều hướng – Happy</t>
        </is>
      </c>
      <c r="E25" s="23" t="inlineStr">
        <is>
          <t>Happy</t>
        </is>
      </c>
      <c r="F25" s="23" t="inlineStr">
        <is>
          <t>Smoke</t>
        </is>
      </c>
      <c r="G25" s="23" t="inlineStr">
        <is>
          <t>P2</t>
        </is>
      </c>
      <c r="H25" s="23" t="inlineStr">
        <is>
          <t>1. Có dữ liệu.</t>
        </is>
      </c>
      <c r="I25" s="23" t="inlineStr">
        <is>
          <t>1) Mở PR.04
2) Nhấn 'Tải xuống'</t>
        </is>
      </c>
      <c r="J25" s="23" t="inlineStr">
        <is>
          <t>(i) Nghiệp vụ/Logic: Thông tin được xử lý thành công và lưu trữ toàn vẹn dữ liệu.
(ii) UI: Thông báo 'Thao tác thành công'.
(iii) Trạng thái: 'Chờ duyệt' (Maker tạo mới).</t>
        </is>
      </c>
      <c r="K25" s="23" t="inlineStr">
        <is>
          <t>II.5.1.4.1</t>
        </is>
      </c>
      <c r="L25" s="23" t="inlineStr">
        <is>
          <t>UI-FUNC.03</t>
        </is>
      </c>
      <c r="M25" s="23" t="inlineStr">
        <is>
          <t>UI-03-OPEN</t>
        </is>
      </c>
      <c r="N25" s="23" t="n"/>
      <c r="O25" s="23" t="n"/>
      <c r="P25" s="23" t="n"/>
      <c r="Q25" s="23" t="n"/>
      <c r="R25" s="23" t="n"/>
      <c r="S25" s="23" t="n"/>
      <c r="T25" s="23" t="n"/>
      <c r="U25" s="23">
        <f>IF(R25&lt;&gt;"", R25, O25)</f>
        <v/>
      </c>
    </row>
    <row r="26" ht="15.75" customHeight="1" s="17">
      <c r="A26" s="23" t="inlineStr">
        <is>
          <t>PR04-UI-08</t>
        </is>
      </c>
      <c r="B26" s="23" t="inlineStr">
        <is>
          <t>PR04</t>
        </is>
      </c>
      <c r="C26" s="23" t="inlineStr">
        <is>
          <t>UI – Tải xuống</t>
        </is>
      </c>
      <c r="D26" s="23" t="inlineStr">
        <is>
          <t>Kiểm tra lỗi: Chặn và báo lỗi khi Tải xuống – khi lưới rỗng – Negative</t>
        </is>
      </c>
      <c r="E26" s="23" t="inlineStr">
        <is>
          <t>Negative</t>
        </is>
      </c>
      <c r="F26" s="23" t="inlineStr">
        <is>
          <t>Regression</t>
        </is>
      </c>
      <c r="G26" s="23" t="inlineStr">
        <is>
          <t>P3</t>
        </is>
      </c>
      <c r="H26" s="23" t="inlineStr">
        <is>
          <t>1. Không có dữ liệu theo BR_03.</t>
        </is>
      </c>
      <c r="I26" s="23" t="inlineStr">
        <is>
          <t>1) Ở lưới rỗng
2) Nhấn 'Tải xuống'</t>
        </is>
      </c>
      <c r="J26"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26" s="23" t="inlineStr">
        <is>
          <t>II.5.1.4.1</t>
        </is>
      </c>
      <c r="L26" s="23" t="inlineStr">
        <is>
          <t>UI-FUNC.03</t>
        </is>
      </c>
      <c r="M26" s="23" t="inlineStr">
        <is>
          <t>UI-03-EMPTY</t>
        </is>
      </c>
      <c r="N26" s="23" t="n"/>
      <c r="O26" s="23" t="n"/>
      <c r="P26" s="23" t="n"/>
      <c r="Q26" s="23" t="n"/>
      <c r="R26" s="23" t="n"/>
      <c r="S26" s="23" t="n"/>
      <c r="T26" s="23" t="n"/>
      <c r="U26" s="23">
        <f>IF(R26&lt;&gt;"", R26, O26)</f>
        <v/>
      </c>
    </row>
    <row r="27" ht="15.75" customHeight="1" s="17">
      <c r="A27" s="23" t="inlineStr">
        <is>
          <t>PR04-UI-09</t>
        </is>
      </c>
      <c r="B27" s="23" t="inlineStr">
        <is>
          <t>PR04</t>
        </is>
      </c>
      <c r="C27" s="23" t="inlineStr">
        <is>
          <t>UI – Tải xuống</t>
        </is>
      </c>
      <c r="D27" s="23" t="inlineStr">
        <is>
          <t>Kiểm tra thành công: Luồng Tải xuống – phản ánh dữ liệu đã lọc – Happy</t>
        </is>
      </c>
      <c r="E27" s="23" t="inlineStr">
        <is>
          <t>Happy</t>
        </is>
      </c>
      <c r="F27" s="23" t="inlineStr">
        <is>
          <t>Regression</t>
        </is>
      </c>
      <c r="G27" s="23" t="inlineStr">
        <is>
          <t>P2</t>
        </is>
      </c>
      <c r="H27" s="23" t="inlineStr">
        <is>
          <t>1. Đang bật filter.</t>
        </is>
      </c>
      <c r="I27" s="23" t="inlineStr">
        <is>
          <t>1) Áp dụng lọc
2) Nhấn 'Tải xuống'
3) Mở file so sánh</t>
        </is>
      </c>
      <c r="J27" s="23" t="inlineStr">
        <is>
          <t>(i) Nghiệp vụ/Logic: Thông tin được xử lý thành công và lưu trữ toàn vẹn dữ liệu.
(ii) UI: Thông báo 'Thao tác thành công'.
(iii) Trạng thái: 'Chờ duyệt' (Maker tạo mới).</t>
        </is>
      </c>
      <c r="K27" s="23" t="inlineStr">
        <is>
          <t>II.5.1.4.1</t>
        </is>
      </c>
      <c r="L27" s="23" t="inlineStr">
        <is>
          <t>UI-FUNC.03</t>
        </is>
      </c>
      <c r="M27" s="23" t="inlineStr">
        <is>
          <t>UI-03-FIL</t>
        </is>
      </c>
      <c r="N27" s="23" t="n"/>
      <c r="O27" s="23" t="n"/>
      <c r="P27" s="23" t="n"/>
      <c r="Q27" s="23" t="n"/>
      <c r="R27" s="23" t="n"/>
      <c r="S27" s="23" t="n"/>
      <c r="T27" s="23" t="n"/>
      <c r="U27" s="23">
        <f>IF(R27&lt;&gt;"", R27, O27)</f>
        <v/>
      </c>
    </row>
    <row r="28" ht="15.75" customHeight="1" s="17">
      <c r="A28" s="23" t="inlineStr">
        <is>
          <t>PR04-UI-10</t>
        </is>
      </c>
      <c r="B28" s="23" t="inlineStr">
        <is>
          <t>PR04</t>
        </is>
      </c>
      <c r="C28" s="23" t="inlineStr">
        <is>
          <t>UI – Tải xuống</t>
        </is>
      </c>
      <c r="D28" s="23" t="inlineStr">
        <is>
          <t>Kiểm tra biên: Xác minh giới hạn của Tải xuống – giới hạn dung lượng/kích thước – Boundary</t>
        </is>
      </c>
      <c r="E28" s="23" t="inlineStr">
        <is>
          <t>Boundary</t>
        </is>
      </c>
      <c r="F28" s="23" t="inlineStr">
        <is>
          <t>Regression</t>
        </is>
      </c>
      <c r="G28" s="23" t="inlineStr">
        <is>
          <t>P3</t>
        </is>
      </c>
      <c r="H28" s="23" t="inlineStr">
        <is>
          <t>1. Khối lượng dữ liệu lớn.</t>
        </is>
      </c>
      <c r="I28" s="23" t="inlineStr">
        <is>
          <t>1) Mở PR.04
2) Nhấn 'Tải xuống' với dữ liệu lớn
3) Theo dõi tiến trình</t>
        </is>
      </c>
      <c r="J28" s="23" t="inlineStr">
        <is>
          <t>(i) Nghiệp vụ/Logic: Hệ thống xử lý đúng quy định tại giá trị biên (Min/Max/Limit).
(ii) UI: Hiển thị thông báo hoặc trạng thái tương ứng.
(iii) Trạng thái: Lưu hoặc Chặn tùy quy định.</t>
        </is>
      </c>
      <c r="K28" s="23" t="inlineStr">
        <is>
          <t>II.5.1.4.1</t>
        </is>
      </c>
      <c r="L28" s="23" t="inlineStr">
        <is>
          <t>UI-FUNC.03</t>
        </is>
      </c>
      <c r="M28" s="23" t="inlineStr">
        <is>
          <t>UI-03-LARGE</t>
        </is>
      </c>
      <c r="N28" s="23" t="n"/>
      <c r="O28" s="23" t="n"/>
      <c r="P28" s="23" t="n"/>
      <c r="Q28" s="23" t="n"/>
      <c r="R28" s="23" t="n"/>
      <c r="S28" s="23" t="n"/>
      <c r="T28" s="23" t="n"/>
      <c r="U28" s="23">
        <f>IF(R28&lt;&gt;"", R28, O28)</f>
        <v/>
      </c>
    </row>
    <row r="29" ht="15.75" customHeight="1" s="17">
      <c r="A29" s="23" t="inlineStr">
        <is>
          <t>PR04-UI-11</t>
        </is>
      </c>
      <c r="B29" s="23" t="inlineStr">
        <is>
          <t>PR04</t>
        </is>
      </c>
      <c r="C29" s="23" t="inlineStr">
        <is>
          <t>UI – Phân trang</t>
        </is>
      </c>
      <c r="D29" s="23" t="inlineStr">
        <is>
          <t>Kiểm tra thành công: Luồng Phân trang – page size 10/20/50 – Happy</t>
        </is>
      </c>
      <c r="E29" s="23" t="inlineStr">
        <is>
          <t>Happy</t>
        </is>
      </c>
      <c r="F29" s="23" t="inlineStr">
        <is>
          <t>Regression</t>
        </is>
      </c>
      <c r="G29" s="23" t="inlineStr">
        <is>
          <t>P3</t>
        </is>
      </c>
      <c r="H29" s="23" t="inlineStr">
        <is>
          <t>1. Có &gt;50 bản ghi.</t>
        </is>
      </c>
      <c r="I29" s="23" t="inlineStr">
        <is>
          <t>1) Mở PR.04
2) Đổi page size 10→20→50
3) Quan sát tổng trang/số dòng</t>
        </is>
      </c>
      <c r="J29" s="23" t="inlineStr">
        <is>
          <t>(i) Nghiệp vụ/Logic: Thông tin được xử lý thành công và lưu trữ toàn vẹn dữ liệu.
(ii) UI: Thông báo 'Thao tác thành công'.
(iii) Trạng thái: 'Chờ duyệt' (Maker tạo mới).</t>
        </is>
      </c>
      <c r="K29" s="23" t="inlineStr">
        <is>
          <t>II.5.1.4.2</t>
        </is>
      </c>
      <c r="L29" s="23" t="inlineStr">
        <is>
          <t>UI-FUNC.04</t>
        </is>
      </c>
      <c r="M29" s="23" t="inlineStr">
        <is>
          <t>UI-04-SIZE</t>
        </is>
      </c>
      <c r="N29" s="23" t="n"/>
      <c r="O29" s="23" t="n"/>
      <c r="P29" s="23" t="n"/>
      <c r="Q29" s="23" t="n"/>
      <c r="R29" s="23" t="n"/>
      <c r="S29" s="23" t="n"/>
      <c r="T29" s="23" t="n"/>
      <c r="U29" s="23">
        <f>IF(R29&lt;&gt;"", R29, O29)</f>
        <v/>
      </c>
    </row>
    <row r="30" ht="15.75" customHeight="1" s="17">
      <c r="A30" s="23" t="inlineStr">
        <is>
          <t>PR04-UI-12</t>
        </is>
      </c>
      <c r="B30" s="23" t="inlineStr">
        <is>
          <t>PR04</t>
        </is>
      </c>
      <c r="C30" s="23" t="inlineStr">
        <is>
          <t>UI – Phân trang</t>
        </is>
      </c>
      <c r="D30" s="23" t="inlineStr">
        <is>
          <t>Kiểm tra thành công: Luồng Phân trang – Next/Prev/Jump – Happy</t>
        </is>
      </c>
      <c r="E30" s="23" t="inlineStr">
        <is>
          <t>Happy</t>
        </is>
      </c>
      <c r="F30" s="23" t="inlineStr">
        <is>
          <t>Regression</t>
        </is>
      </c>
      <c r="G30" s="23" t="inlineStr">
        <is>
          <t>P3</t>
        </is>
      </c>
      <c r="H30" s="23" t="inlineStr">
        <is>
          <t>1. Có nhiều trang.</t>
        </is>
      </c>
      <c r="I30" s="23" t="inlineStr">
        <is>
          <t>1) Đổi trang bằng Next/Prev
2) Nhảy tới trang cuối/đầu
3) Quan sát lưới</t>
        </is>
      </c>
      <c r="J30" s="23" t="inlineStr">
        <is>
          <t>(i) Nghiệp vụ/Logic: Thông tin được xử lý thành công và lưu trữ toàn vẹn dữ liệu.
(ii) UI: Thông báo 'Thao tác thành công'.
(iii) Trạng thái: 'Chờ duyệt' (Maker tạo mới).</t>
        </is>
      </c>
      <c r="K30" s="23" t="inlineStr">
        <is>
          <t>II.5.1.4.2</t>
        </is>
      </c>
      <c r="L30" s="23" t="inlineStr">
        <is>
          <t>UI-FUNC.04</t>
        </is>
      </c>
      <c r="M30" s="23" t="inlineStr">
        <is>
          <t>UI-04-NAV</t>
        </is>
      </c>
      <c r="N30" s="23" t="n"/>
      <c r="O30" s="23" t="n"/>
      <c r="P30" s="23" t="n"/>
      <c r="Q30" s="23" t="n"/>
      <c r="R30" s="23" t="n"/>
      <c r="S30" s="23" t="n"/>
      <c r="T30" s="23" t="n"/>
      <c r="U30" s="23">
        <f>IF(R30&lt;&gt;"", R30, O30)</f>
        <v/>
      </c>
    </row>
    <row r="31" ht="15.75" customHeight="1" s="17">
      <c r="A31" s="23" t="inlineStr">
        <is>
          <t>PR04-UI-13</t>
        </is>
      </c>
      <c r="B31" s="23" t="inlineStr">
        <is>
          <t>PR04</t>
        </is>
      </c>
      <c r="C31" s="23" t="inlineStr">
        <is>
          <t>UI – Phân trang</t>
        </is>
      </c>
      <c r="D31" s="23" t="inlineStr">
        <is>
          <t>Kiểm tra biên: Xác minh giới hạn của Phân trang – giữ bộ lọc khi đổi trang – Boundary</t>
        </is>
      </c>
      <c r="E31" s="23" t="inlineStr">
        <is>
          <t>Boundary</t>
        </is>
      </c>
      <c r="F31" s="23" t="inlineStr">
        <is>
          <t>Regression</t>
        </is>
      </c>
      <c r="G31" s="23" t="inlineStr">
        <is>
          <t>P3</t>
        </is>
      </c>
      <c r="H31" s="23" t="inlineStr">
        <is>
          <t>1. Đang bật filter.</t>
        </is>
      </c>
      <c r="I31" s="23" t="inlineStr">
        <is>
          <t>1) Áp dụng 1 filter
2) Đổi trang
3) Quan sát kết quả</t>
        </is>
      </c>
      <c r="J31" s="23" t="inlineStr">
        <is>
          <t>(i) Nghiệp vụ/Logic: Hệ thống xử lý đúng quy định tại giá trị biên (Min/Max/Limit).
(ii) UI: Hiển thị thông báo hoặc trạng thái tương ứng.
(iii) Trạng thái: Lưu hoặc Chặn tùy quy định.</t>
        </is>
      </c>
      <c r="K31" s="23" t="inlineStr">
        <is>
          <t>II.5.1.4.2</t>
        </is>
      </c>
      <c r="L31" s="23" t="inlineStr">
        <is>
          <t>UI-FUNC.04</t>
        </is>
      </c>
      <c r="M31" s="23" t="inlineStr">
        <is>
          <t>UI-04-STATE</t>
        </is>
      </c>
      <c r="N31" s="23" t="n"/>
      <c r="O31" s="23" t="n"/>
      <c r="P31" s="23" t="n"/>
      <c r="Q31" s="23" t="n"/>
      <c r="R31" s="23" t="n"/>
      <c r="S31" s="23" t="n"/>
      <c r="T31" s="23" t="n"/>
      <c r="U31" s="23">
        <f>IF(R31&lt;&gt;"", R31, O31)</f>
        <v/>
      </c>
    </row>
    <row r="32" ht="15.75" customHeight="1" s="17">
      <c r="A32" s="23" t="inlineStr">
        <is>
          <t>PR04-UI-14</t>
        </is>
      </c>
      <c r="B32" s="23" t="inlineStr">
        <is>
          <t>PR04</t>
        </is>
      </c>
      <c r="C32" s="23" t="inlineStr">
        <is>
          <t>UI – Xem</t>
        </is>
      </c>
      <c r="D32" s="23" t="inlineStr">
        <is>
          <t>Kiểm tra thành công: Luồng Xem – mở bằng double-click dòng – Happy</t>
        </is>
      </c>
      <c r="E32" s="23" t="inlineStr">
        <is>
          <t>Happy</t>
        </is>
      </c>
      <c r="F32" s="23" t="inlineStr">
        <is>
          <t>Regression</t>
        </is>
      </c>
      <c r="G32" s="23" t="inlineStr">
        <is>
          <t>P3</t>
        </is>
      </c>
      <c r="H32" s="23" t="inlineStr">
        <is>
          <t>1. Có dữ liệu.</t>
        </is>
      </c>
      <c r="I32" s="23" t="inlineStr">
        <is>
          <t>1) Double-click 1 dòng trên lưới
2) Quan sát form chi tiết</t>
        </is>
      </c>
      <c r="J32" s="23" t="inlineStr">
        <is>
          <t>(i) Nghiệp vụ/Logic: Thông tin được xử lý thành công và lưu trữ toàn vẹn dữ liệu.
(ii) UI: Thông báo 'Thao tác thành công'.
(iii) Trạng thái: 'Chờ duyệt' (Maker tạo mới).</t>
        </is>
      </c>
      <c r="K32" s="23" t="inlineStr">
        <is>
          <t>II.5.1.4.1</t>
        </is>
      </c>
      <c r="L32" s="23" t="inlineStr">
        <is>
          <t>UI-FUNC.01</t>
        </is>
      </c>
      <c r="M32" s="23" t="inlineStr">
        <is>
          <t>UI-01-DBL</t>
        </is>
      </c>
      <c r="N32" s="23" t="n"/>
      <c r="O32" s="23" t="n"/>
      <c r="P32" s="23" t="n"/>
      <c r="Q32" s="23" t="n"/>
      <c r="R32" s="23" t="n"/>
      <c r="S32" s="23" t="n"/>
      <c r="T32" s="23" t="n"/>
      <c r="U32" s="23">
        <f>IF(R32&lt;&gt;"", R32, O32)</f>
        <v/>
      </c>
    </row>
    <row r="33" ht="15.75" customHeight="1" s="17">
      <c r="A33" s="23" t="inlineStr">
        <is>
          <t>PR04-UI-15</t>
        </is>
      </c>
      <c r="B33" s="23" t="inlineStr">
        <is>
          <t>PR04</t>
        </is>
      </c>
      <c r="C33" s="23" t="inlineStr">
        <is>
          <t>UI – Lọc</t>
        </is>
      </c>
      <c r="D33" s="23" t="inlineStr">
        <is>
          <t>Kiểm tra thành công: Luồng Lọc – tìm theo chuỗi contains ở mã code – Happy</t>
        </is>
      </c>
      <c r="E33" s="23" t="inlineStr">
        <is>
          <t>Happy</t>
        </is>
      </c>
      <c r="F33" s="23" t="inlineStr">
        <is>
          <t>Regression</t>
        </is>
      </c>
      <c r="G33" s="23" t="inlineStr">
        <is>
          <t>P3</t>
        </is>
      </c>
      <c r="H33" s="23" t="inlineStr">
        <is>
          <t>1. Có dữ liệu nhiều mã code.</t>
        </is>
      </c>
      <c r="I33" s="23" t="inlineStr">
        <is>
          <t>1) Nhập từ khóa ở ô tìm mã
2) Áp dụng
3) Quan sát lưới</t>
        </is>
      </c>
      <c r="J33" s="23" t="inlineStr">
        <is>
          <t>(i) Nghiệp vụ/Logic: Thông tin được xử lý thành công và lưu trữ toàn vẹn dữ liệu.
(ii) UI: Thông báo 'Thao tác thành công'.
(iii) Trạng thái: 'Chờ duyệt' (Maker tạo mới).</t>
        </is>
      </c>
      <c r="K33" s="23" t="inlineStr">
        <is>
          <t>II.5.1.4.1</t>
        </is>
      </c>
      <c r="L33" s="23" t="inlineStr">
        <is>
          <t>UI-FUNC.02</t>
        </is>
      </c>
      <c r="M33" s="23" t="inlineStr">
        <is>
          <t>UI-02-CONTAINS</t>
        </is>
      </c>
      <c r="N33" s="23" t="n"/>
      <c r="O33" s="23" t="n"/>
      <c r="P33" s="23" t="n"/>
      <c r="Q33" s="23" t="n"/>
      <c r="R33" s="23" t="n"/>
      <c r="S33" s="23" t="n"/>
      <c r="T33" s="23" t="n"/>
      <c r="U33" s="23">
        <f>IF(R33&lt;&gt;"", R33, O33)</f>
        <v/>
      </c>
    </row>
    <row r="34" ht="15.75" customHeight="1" s="17">
      <c r="A34" s="23" t="inlineStr">
        <is>
          <t>PR04-UI-16</t>
        </is>
      </c>
      <c r="B34" s="23" t="inlineStr">
        <is>
          <t>PR04</t>
        </is>
      </c>
      <c r="C34" s="23" t="inlineStr">
        <is>
          <t>UI – Lọc</t>
        </is>
      </c>
      <c r="D34" s="23" t="inlineStr">
        <is>
          <t>Kiểm tra biên: Xác minh giới hạn của Lọc – nhạy/không nhạy hoa-thường
(theo thiết kế) – Boundary</t>
        </is>
      </c>
      <c r="E34" s="23" t="inlineStr">
        <is>
          <t>Boundary</t>
        </is>
      </c>
      <c r="F34" s="23" t="inlineStr">
        <is>
          <t>Regression</t>
        </is>
      </c>
      <c r="G34" s="23" t="inlineStr">
        <is>
          <t>P3</t>
        </is>
      </c>
      <c r="H34" s="23" t="inlineStr">
        <is>
          <t>1. Xác nhận yêu cầu thiết kế.</t>
        </is>
      </c>
      <c r="I34" s="23" t="inlineStr">
        <is>
          <t>1) Nhập 'abc'
2) Nhập 'ABC'
3) So sánh kết quả</t>
        </is>
      </c>
      <c r="J34" s="23" t="inlineStr">
        <is>
          <t>(i) Nghiệp vụ/Logic: Hệ thống xử lý đúng quy định tại giá trị biên (Min/Max/Limit).
(ii) UI: Hiển thị thông báo hoặc trạng thái tương ứng.
(iii) Trạng thái: Lưu hoặc Chặn tùy quy định.</t>
        </is>
      </c>
      <c r="K34" s="23" t="inlineStr">
        <is>
          <t>II.5.1.4.1</t>
        </is>
      </c>
      <c r="L34" s="23" t="inlineStr">
        <is>
          <t>UI-FUNC.02</t>
        </is>
      </c>
      <c r="M34" s="23" t="inlineStr">
        <is>
          <t>UI-02-CASE</t>
        </is>
      </c>
      <c r="N34" s="23" t="n"/>
      <c r="O34" s="23" t="n"/>
      <c r="P34" s="23" t="n"/>
      <c r="Q34" s="23" t="n"/>
      <c r="R34" s="23" t="n"/>
      <c r="S34" s="23" t="n"/>
      <c r="T34" s="23" t="n"/>
      <c r="U34" s="23">
        <f>IF(R34&lt;&gt;"", R34, O34)</f>
        <v/>
      </c>
    </row>
    <row r="35" ht="15.75" customHeight="1" s="17">
      <c r="A35" s="23" t="inlineStr">
        <is>
          <t>PR04-UI-17</t>
        </is>
      </c>
      <c r="B35" s="23" t="inlineStr">
        <is>
          <t>PR04</t>
        </is>
      </c>
      <c r="C35" s="23" t="inlineStr">
        <is>
          <t>UI – Lọc</t>
        </is>
      </c>
      <c r="D35" s="23" t="inlineStr">
        <is>
          <t>Kiểm tra biên: Xác minh giới hạn của Lọc – giữ trạng thái khi Refresh trang – Boundary</t>
        </is>
      </c>
      <c r="E35" s="23" t="inlineStr">
        <is>
          <t>Boundary</t>
        </is>
      </c>
      <c r="F35" s="23" t="inlineStr">
        <is>
          <t>Regression</t>
        </is>
      </c>
      <c r="G35" s="23" t="inlineStr">
        <is>
          <t>P3</t>
        </is>
      </c>
      <c r="H35" s="23" t="inlineStr">
        <is>
          <t>1. Đang bật filter.</t>
        </is>
      </c>
      <c r="I35" s="23" t="inlineStr">
        <is>
          <t>1) Áp dụng filter
2) Refresh trình duyệt
3) Quan sát lại</t>
        </is>
      </c>
      <c r="J35" s="23" t="inlineStr">
        <is>
          <t>(i) Nghiệp vụ/Logic: Hệ thống xử lý đúng quy định tại giá trị biên (Min/Max/Limit).
(ii) UI: Hiển thị thông báo hoặc trạng thái tương ứng.
(iii) Trạng thái: Lưu hoặc Chặn tùy quy định.</t>
        </is>
      </c>
      <c r="K35" s="23" t="inlineStr">
        <is>
          <t>II.5.1.4.2</t>
        </is>
      </c>
      <c r="L35" s="23" t="inlineStr">
        <is>
          <t>UI-FUNC.02</t>
        </is>
      </c>
      <c r="M35" s="23" t="inlineStr">
        <is>
          <t>UI-02-REFRESH</t>
        </is>
      </c>
      <c r="N35" s="23" t="n"/>
      <c r="O35" s="23" t="n"/>
      <c r="P35" s="23" t="n"/>
      <c r="Q35" s="23" t="n"/>
      <c r="R35" s="23" t="n"/>
      <c r="S35" s="23" t="n"/>
      <c r="T35" s="23" t="n"/>
      <c r="U35" s="23">
        <f>IF(R35&lt;&gt;"", R35, O35)</f>
        <v/>
      </c>
    </row>
    <row r="36" ht="15.75" customHeight="1" s="17">
      <c r="A36" s="23" t="inlineStr">
        <is>
          <t>PR04-UI-18</t>
        </is>
      </c>
      <c r="B36" s="23" t="inlineStr">
        <is>
          <t>PR04</t>
        </is>
      </c>
      <c r="C36" s="23" t="inlineStr">
        <is>
          <t>UI – Tải xuống</t>
        </is>
      </c>
      <c r="D36" s="23" t="inlineStr">
        <is>
          <t>Kiểm tra biên: Xác minh giới hạn của Tải xuống – định dạng file đầu ra đúng cấu hình – Boundary</t>
        </is>
      </c>
      <c r="E36" s="23" t="inlineStr">
        <is>
          <t>Boundary</t>
        </is>
      </c>
      <c r="F36" s="23" t="inlineStr">
        <is>
          <t>Regression</t>
        </is>
      </c>
      <c r="G36" s="23" t="inlineStr">
        <is>
          <t>P3</t>
        </is>
      </c>
      <c r="H36" s="23" t="inlineStr">
        <is>
          <t>1. Có dữ liệu.</t>
        </is>
      </c>
      <c r="I36" s="23" t="inlineStr">
        <is>
          <t>1) Nhấn 'Tải xuống'
2) Kiểm tra tên/định dạng file</t>
        </is>
      </c>
      <c r="J36" s="23" t="inlineStr">
        <is>
          <t>(i) Nghiệp vụ/Logic: Hệ thống xử lý đúng quy định tại giá trị biên (Min/Max/Limit).
(ii) UI: Hiển thị thông báo hoặc trạng thái tương ứng.
(iii) Trạng thái: Lưu hoặc Chặn tùy quy định.</t>
        </is>
      </c>
      <c r="K36" s="23" t="inlineStr">
        <is>
          <t>II.5.1.4.1</t>
        </is>
      </c>
      <c r="L36" s="23" t="inlineStr">
        <is>
          <t>UI-FUNC.03</t>
        </is>
      </c>
      <c r="M36" s="23" t="inlineStr">
        <is>
          <t>UI-03-FMT</t>
        </is>
      </c>
      <c r="N36" s="23" t="n"/>
      <c r="O36" s="23" t="n"/>
      <c r="P36" s="23" t="n"/>
      <c r="Q36" s="23" t="n"/>
      <c r="R36" s="23" t="n"/>
      <c r="S36" s="23" t="n"/>
      <c r="T36" s="23" t="n"/>
      <c r="U36" s="23">
        <f>IF(R36&lt;&gt;"", R36, O36)</f>
        <v/>
      </c>
    </row>
    <row r="37" ht="15.75" customHeight="1" s="17">
      <c r="A37" s="23" t="inlineStr">
        <is>
          <t>PR04-UI-19</t>
        </is>
      </c>
      <c r="B37" s="23" t="inlineStr">
        <is>
          <t>PR04</t>
        </is>
      </c>
      <c r="C37" s="23" t="inlineStr">
        <is>
          <t>UI – Tải xuống</t>
        </is>
      </c>
      <c r="D37" s="23" t="inlineStr">
        <is>
          <t>Kiểm tra biên: Xác minh giới hạn của Tải xuống – kiểm ký tự Unicode/tiếng Việt trong file – Boundary</t>
        </is>
      </c>
      <c r="E37" s="23" t="inlineStr">
        <is>
          <t>Boundary</t>
        </is>
      </c>
      <c r="F37" s="23" t="inlineStr">
        <is>
          <t>Regression</t>
        </is>
      </c>
      <c r="G37" s="23" t="inlineStr">
        <is>
          <t>P3</t>
        </is>
      </c>
      <c r="H37" s="23" t="inlineStr">
        <is>
          <t>1. Có dữ liệu có dấu.</t>
        </is>
      </c>
      <c r="I37" s="23" t="inlineStr">
        <is>
          <t>1) Áp dụng filter để lấy dữ liệu có dấu
2) Tải file
3) Mở và kiểm tra encoding</t>
        </is>
      </c>
      <c r="J37" s="23" t="inlineStr">
        <is>
          <t>(i) Nghiệp vụ/Logic: Hệ thống xử lý đúng quy định tại giá trị biên (Min/Max/Limit).
(ii) UI: Hiển thị thông báo hoặc trạng thái tương ứng.
(iii) Trạng thái: Lưu hoặc Chặn tùy quy định.</t>
        </is>
      </c>
      <c r="K37" s="23" t="inlineStr">
        <is>
          <t>II.5.1.4.1</t>
        </is>
      </c>
      <c r="L37" s="23" t="inlineStr">
        <is>
          <t>UI-FUNC.03</t>
        </is>
      </c>
      <c r="M37" s="23" t="inlineStr">
        <is>
          <t>UI-03-VN</t>
        </is>
      </c>
      <c r="N37" s="23" t="n"/>
      <c r="O37" s="23" t="n"/>
      <c r="P37" s="23" t="n"/>
      <c r="Q37" s="23" t="n"/>
      <c r="R37" s="23" t="n"/>
      <c r="S37" s="23" t="n"/>
      <c r="T37" s="23" t="n"/>
      <c r="U37" s="23">
        <f>IF(R37&lt;&gt;"", R37, O37)</f>
        <v/>
      </c>
    </row>
    <row r="38" ht="15.75" customHeight="1" s="17">
      <c r="A38" s="23" t="inlineStr">
        <is>
          <t>PR04-UI-20</t>
        </is>
      </c>
      <c r="B38" s="23" t="inlineStr">
        <is>
          <t>PR04</t>
        </is>
      </c>
      <c r="C38" s="23" t="inlineStr">
        <is>
          <t>UI – Phân trang</t>
        </is>
      </c>
      <c r="D38" s="23" t="inlineStr">
        <is>
          <t>Kiểm tra biên: Xác minh giới hạn của Phân trang – hiệu năng đổi trang dưới ngưỡng – Boundary</t>
        </is>
      </c>
      <c r="E38" s="23" t="inlineStr">
        <is>
          <t>Boundary</t>
        </is>
      </c>
      <c r="F38" s="23" t="inlineStr">
        <is>
          <t>Regression</t>
        </is>
      </c>
      <c r="G38" s="23" t="inlineStr">
        <is>
          <t>P3</t>
        </is>
      </c>
      <c r="H38" s="23" t="inlineStr">
        <is>
          <t>1. Dữ liệu lớn.</t>
        </is>
      </c>
      <c r="I38" s="23" t="inlineStr">
        <is>
          <t>1) Đo thời gian đổi trang nhiều lần
2) Ghi nhận kết quả</t>
        </is>
      </c>
      <c r="J38" s="23" t="inlineStr">
        <is>
          <t>(i) Nghiệp vụ/Logic: Hệ thống xử lý đúng quy định tại giá trị biên (Min/Max/Limit).
(ii) UI: Hiển thị thông báo hoặc trạng thái tương ứng.
(iii) Trạng thái: Lưu hoặc Chặn tùy quy định.</t>
        </is>
      </c>
      <c r="K38" s="23" t="inlineStr">
        <is>
          <t>II.5.1.4.2</t>
        </is>
      </c>
      <c r="L38" s="23" t="inlineStr">
        <is>
          <t>UI-FUNC.04</t>
        </is>
      </c>
      <c r="M38" s="23" t="inlineStr">
        <is>
          <t>UI-04-PERF</t>
        </is>
      </c>
      <c r="N38" s="23" t="n"/>
      <c r="O38" s="23" t="n"/>
      <c r="P38" s="23" t="n"/>
      <c r="Q38" s="23" t="n"/>
      <c r="R38" s="23" t="n"/>
      <c r="S38" s="23" t="n"/>
      <c r="T38" s="23" t="n"/>
      <c r="U38" s="23">
        <f>IF(R38&lt;&gt;"", R38, O38)</f>
        <v/>
      </c>
    </row>
    <row r="39" ht="15.75" customHeight="1" s="17">
      <c r="A39" s="23" t="inlineStr">
        <is>
          <t>PR04-br01-NEG-001</t>
        </is>
      </c>
      <c r="B39" s="23" t="inlineStr">
        <is>
          <t>PR04</t>
        </is>
      </c>
      <c r="C39" s="23" t="inlineStr">
        <is>
          <t>Phạm vi dữ liệu</t>
        </is>
      </c>
      <c r="D39" s="23" t="inlineStr">
        <is>
          <t>Kiểm tra lỗi: Chặn và báo lỗi khi Loại trừ Code phí đang 'Hoạt động'</t>
        </is>
      </c>
      <c r="E39" s="23" t="inlineStr">
        <is>
          <t>Negative</t>
        </is>
      </c>
      <c r="F39" s="23" t="inlineStr">
        <is>
          <t>Regression</t>
        </is>
      </c>
      <c r="G39" s="23" t="inlineStr">
        <is>
          <t>P1</t>
        </is>
      </c>
      <c r="H39" s="23" t="inlineStr">
        <is>
          <t>1. Code phí 'CODE_ACT_001' đang được gán với một Biểu phí có hiệu lực (Trạng thái = Hoạt động).</t>
        </is>
      </c>
      <c r="I39" s="23" t="inlineStr">
        <is>
          <t>1. Đăng nhập với vai trò Maker.
2. Truy cập màn hình PR.
04.
3. Nhập mã 'CODE_ACT_001' vào ô tìm kiếm Mã code.
4. Nhấn Lọc.</t>
        </is>
      </c>
      <c r="J39"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39" s="23" t="inlineStr">
        <is>
          <t>II.5.1.4.1</t>
        </is>
      </c>
      <c r="L39" s="23" t="inlineStr">
        <is>
          <t>BR_01</t>
        </is>
      </c>
      <c r="M39" s="23" t="inlineStr">
        <is>
          <t>BR_01-NEG-EXCLUDE</t>
        </is>
      </c>
      <c r="N39" s="23" t="inlineStr">
        <is>
          <t>Bổ sung GAPs review.</t>
        </is>
      </c>
      <c r="O39" s="23" t="n"/>
      <c r="P39" s="23" t="n"/>
      <c r="Q39" s="23" t="n"/>
      <c r="R39" s="23" t="n"/>
      <c r="S39" s="23" t="n"/>
      <c r="T39" s="23" t="n"/>
      <c r="U39" s="23">
        <f>IF(R39&lt;&gt;"", R39, O39)</f>
        <v/>
      </c>
    </row>
    <row r="40" ht="15.75" customHeight="1" s="17">
      <c r="A40" s="23" t="inlineStr">
        <is>
          <t>PR04-br02-HAP-002</t>
        </is>
      </c>
      <c r="B40" s="23" t="inlineStr">
        <is>
          <t>PR04</t>
        </is>
      </c>
      <c r="C40" s="23" t="inlineStr">
        <is>
          <t>Lọc trạng thái</t>
        </is>
      </c>
      <c r="D40" s="23" t="inlineStr">
        <is>
          <t>Kiểm tra thành công: Luồng Lọc danh sách theo từng Trạng thái (Combo box)</t>
        </is>
      </c>
      <c r="E40" s="23" t="inlineStr">
        <is>
          <t>HappyPath</t>
        </is>
      </c>
      <c r="F40" s="23" t="inlineStr">
        <is>
          <t>Regression</t>
        </is>
      </c>
      <c r="G40" s="23" t="inlineStr">
        <is>
          <t>P2</t>
        </is>
      </c>
      <c r="H40" s="23" t="inlineStr">
        <is>
          <t>1. Dữ liệu có sẵn cả 3 trạng thái: Chờ gán, Ngừng hoạt động, Hủy.</t>
        </is>
      </c>
      <c r="I40" s="23" t="inlineStr">
        <is>
          <t>1. Tại bộ lọc Trạng thái, chọn giá trị 'Hủy'.
2. Nhấn Lọc.
3. Lặp lại với các trạng thái còn lại.</t>
        </is>
      </c>
      <c r="J40" s="23" t="inlineStr">
        <is>
          <t>(i) Nghiệp vụ/Logic: Thông tin được xử lý thành công và lưu trữ toàn vẹn dữ liệu.
(ii) UI: Thông báo 'Thao tác thành công'.
(iii) Trạng thái: 'Chờ duyệt' (Maker tạo mới).</t>
        </is>
      </c>
      <c r="K40" s="23" t="inlineStr">
        <is>
          <t>II.5.1.4.1</t>
        </is>
      </c>
      <c r="L40" s="23" t="inlineStr">
        <is>
          <t>BR_02</t>
        </is>
      </c>
      <c r="M40" s="23" t="inlineStr">
        <is>
          <t>BR_02-STATUS-COMBO</t>
        </is>
      </c>
      <c r="N40" s="23" t="inlineStr">
        <is>
          <t>Bổ sung GAPs review.</t>
        </is>
      </c>
      <c r="O40" s="23" t="n"/>
      <c r="P40" s="23" t="n"/>
      <c r="Q40" s="23" t="n"/>
      <c r="R40" s="23" t="n"/>
      <c r="S40" s="23" t="n"/>
      <c r="T40" s="23" t="n"/>
      <c r="U40" s="23">
        <f>IF(R40&lt;&gt;"", R40, O40)</f>
        <v/>
      </c>
    </row>
    <row r="41" ht="15.75" customHeight="1" s="17">
      <c r="A41" s="23" t="inlineStr">
        <is>
          <t>PR04-br04-HAP-003</t>
        </is>
      </c>
      <c r="B41" s="23" t="inlineStr">
        <is>
          <t>PR04</t>
        </is>
      </c>
      <c r="C41" s="23" t="inlineStr">
        <is>
          <t>Chi tiết Code phí Hủy</t>
        </is>
      </c>
      <c r="D41" s="23" t="inlineStr">
        <is>
          <t>Kiểm tra thành công: Luồng Xem chi tiết Code phí có trạng thái 'Hủy'</t>
        </is>
      </c>
      <c r="E41" s="23" t="inlineStr">
        <is>
          <t>HappyPath</t>
        </is>
      </c>
      <c r="F41" s="23" t="inlineStr">
        <is>
          <t>Regression</t>
        </is>
      </c>
      <c r="G41" s="23" t="inlineStr">
        <is>
          <t>P2</t>
        </is>
      </c>
      <c r="H41" s="23" t="inlineStr">
        <is>
          <t>1. Có bản ghi Code phí ở trạng thái 'Hủy'.</t>
        </is>
      </c>
      <c r="I41" s="23" t="inlineStr">
        <is>
          <t>1. Nhấn nút Xem
(hoặc double click) bản ghi có trạng thái 'Hủy'.
2. Quan sát thông tin chi tiết.</t>
        </is>
      </c>
      <c r="J41" s="23" t="inlineStr">
        <is>
          <t>(i) Nghiệp vụ/Logic: Thông tin được xử lý thành công và lưu trữ toàn vẹn dữ liệu.
(ii) UI: Thông báo 'Thao tác thành công'.
(iii) Trạng thái: 'Chờ duyệt' (Maker tạo mới).</t>
        </is>
      </c>
      <c r="K41" s="23" t="inlineStr">
        <is>
          <t>II.5.1.4.1</t>
        </is>
      </c>
      <c r="L41" s="23" t="inlineStr">
        <is>
          <t>BR_04</t>
        </is>
      </c>
      <c r="M41" s="23" t="inlineStr">
        <is>
          <t>BR_04-CANCEL-DETAIL</t>
        </is>
      </c>
      <c r="N41" s="23" t="inlineStr">
        <is>
          <t>Bổ sung GAPs review.</t>
        </is>
      </c>
      <c r="O41" s="23" t="n"/>
      <c r="P41" s="23" t="n"/>
      <c r="Q41" s="23" t="n"/>
      <c r="R41" s="23" t="n"/>
      <c r="S41" s="23" t="n"/>
      <c r="T41" s="23" t="n"/>
      <c r="U41" s="23">
        <f>IF(R41&lt;&gt;"", R41, O41)</f>
        <v/>
      </c>
    </row>
    <row r="42" ht="15.75" customHeight="1" s="17">
      <c r="A42" s="23" t="inlineStr">
        <is>
          <t>PR04-UI-03-EMPTY</t>
        </is>
      </c>
      <c r="B42" s="23" t="inlineStr">
        <is>
          <t>PR04</t>
        </is>
      </c>
      <c r="C42" s="23" t="inlineStr">
        <is>
          <t>Tải xuống</t>
        </is>
      </c>
      <c r="D42" s="23" t="inlineStr">
        <is>
          <t>Kiểm tra lỗi: Chặn và báo lỗi khi Tải xuống khi không có dữ liệu (Empty Grid)</t>
        </is>
      </c>
      <c r="E42" s="23" t="inlineStr">
        <is>
          <t>Negative</t>
        </is>
      </c>
      <c r="F42" s="23" t="inlineStr">
        <is>
          <t>Regression</t>
        </is>
      </c>
      <c r="G42" s="23" t="inlineStr">
        <is>
          <t>P3</t>
        </is>
      </c>
      <c r="H42" s="23" t="inlineStr">
        <is>
          <t>1. Lưới dữ liệu trống (do filter không có kết quả).</t>
        </is>
      </c>
      <c r="I42" s="23" t="inlineStr">
        <is>
          <t>1. Nhấn nút 'Tải xuống'.
2. Quan sát phản hồi hệ thống.</t>
        </is>
      </c>
      <c r="J42" s="23" t="inlineStr">
        <is>
          <t>(i) Nghiệp vụ/Logic: Hệ thống thực hiện kiểm tra và chặn dữ liệu/thao tác không hợp lệ.
(ii) UI: Hiển thị đúng thông báo lỗi (Error message) theo quy tắc của trường dữ liệu/BR.
(iii) Trạng thái: Không thay đổi dữ liệu gốc, không tạo bản ghi nháp.</t>
        </is>
      </c>
      <c r="K42" s="23" t="inlineStr">
        <is>
          <t>II.5.1.4.1</t>
        </is>
      </c>
      <c r="L42" s="23" t="inlineStr">
        <is>
          <t>UI-FUNC.03</t>
        </is>
      </c>
      <c r="M42" s="23" t="inlineStr">
        <is>
          <t>UI-03-EMPTY</t>
        </is>
      </c>
      <c r="N42" s="23" t="inlineStr">
        <is>
          <t>Bổ sung GAPs review.</t>
        </is>
      </c>
      <c r="O42" s="23" t="n"/>
      <c r="P42" s="23" t="n"/>
      <c r="Q42" s="23" t="n"/>
      <c r="R42" s="23" t="n"/>
      <c r="S42" s="23" t="n"/>
      <c r="T42" s="23" t="n"/>
      <c r="U42" s="23">
        <f>IF(R42&lt;&gt;"", R42, O42)</f>
        <v/>
      </c>
    </row>
    <row r="43" ht="15.75" customHeight="1" s="17">
      <c r="A43" s="23" t="inlineStr">
        <is>
          <t>PR04-UI-04-PAGESIZE</t>
        </is>
      </c>
      <c r="B43" s="23" t="inlineStr">
        <is>
          <t>PR04</t>
        </is>
      </c>
      <c r="C43" s="23" t="inlineStr">
        <is>
          <t>Phân trang</t>
        </is>
      </c>
      <c r="D43" s="23" t="inlineStr">
        <is>
          <t>Kiểm tra biên: Xác minh giới hạn của Thay đổi số lượng bản ghi hiển thị trên trang</t>
        </is>
      </c>
      <c r="E43" s="23" t="inlineStr">
        <is>
          <t>Boundary</t>
        </is>
      </c>
      <c r="F43" s="23" t="inlineStr">
        <is>
          <t>Regression</t>
        </is>
      </c>
      <c r="G43" s="23" t="inlineStr">
        <is>
          <t>P3</t>
        </is>
      </c>
      <c r="H43" s="23" t="inlineStr">
        <is>
          <t>1. Hệ thống có &gt; 50 bản ghi.</t>
        </is>
      </c>
      <c r="I43" s="23" t="inlineStr">
        <is>
          <t>1. Tại thanh phân trang, chọn Page Size =
10.
2. Đổi sang Page Size =
50.
3. Quan sát lưới dữ liệu.</t>
        </is>
      </c>
      <c r="J43" s="23" t="inlineStr">
        <is>
          <t>(i) Nghiệp vụ/Logic: Hệ thống xử lý đúng quy định tại giá trị biên (Min/Max/Limit).
(ii) UI: Hiển thị thông báo hoặc trạng thái tương ứng.
(iii) Trạng thái: Lưu hoặc Chặn tùy quy định.</t>
        </is>
      </c>
      <c r="K43" s="23" t="inlineStr">
        <is>
          <t>II.5.1.4.2</t>
        </is>
      </c>
      <c r="L43" s="23" t="inlineStr">
        <is>
          <t>UI-FUNC.04</t>
        </is>
      </c>
      <c r="M43" s="23" t="inlineStr">
        <is>
          <t>UI-04-PAGESIZE</t>
        </is>
      </c>
      <c r="N43" s="23" t="inlineStr">
        <is>
          <t>Bổ sung GAPs review.</t>
        </is>
      </c>
      <c r="O43" s="23" t="n"/>
      <c r="P43" s="23" t="n"/>
      <c r="Q43" s="23" t="n"/>
      <c r="R43" s="23" t="n"/>
      <c r="S43" s="23" t="n"/>
      <c r="T43" s="23" t="n"/>
      <c r="U43" s="23">
        <f>IF(R43&lt;&gt;"", R43, O43)</f>
        <v/>
      </c>
    </row>
    <row r="44" ht="15.75" customHeight="1" s="17"/>
    <row r="45" ht="15.75" customHeight="1" s="17"/>
    <row r="46" ht="15.75" customHeight="1" s="17"/>
    <row r="47" ht="15.75" customHeight="1" s="17"/>
    <row r="48" ht="15.75" customHeight="1" s="17"/>
    <row r="49" ht="15.75" customHeight="1" s="17"/>
    <row r="50" ht="15.75" customHeight="1" s="17"/>
    <row r="51" ht="15.75" customHeight="1" s="17"/>
    <row r="52" ht="15.75" customHeight="1" s="17"/>
    <row r="53" ht="15.75" customHeight="1" s="17"/>
    <row r="54" ht="15.75" customHeight="1" s="17"/>
    <row r="55" ht="15.75" customHeight="1" s="17"/>
    <row r="56" ht="15.75" customHeight="1" s="17"/>
    <row r="57" ht="15.75" customHeight="1" s="17"/>
    <row r="58" ht="15.75" customHeight="1" s="17"/>
    <row r="59" ht="15.75" customHeight="1" s="17"/>
    <row r="60" ht="15.75" customHeight="1" s="17"/>
    <row r="61" ht="15.75" customHeight="1" s="17"/>
    <row r="62" ht="15.75" customHeight="1" s="17"/>
    <row r="63" ht="15.75" customHeight="1" s="17"/>
    <row r="64" ht="15.75" customHeight="1" s="17"/>
    <row r="65" ht="15.75" customHeight="1" s="17"/>
    <row r="66" ht="15.75" customHeight="1" s="17"/>
    <row r="67" ht="15.75" customHeight="1" s="17"/>
    <row r="68" ht="15.75" customHeight="1" s="17"/>
    <row r="69" ht="15.75" customHeight="1" s="17"/>
    <row r="70" ht="15.75" customHeight="1" s="17"/>
    <row r="71" ht="15.75" customHeight="1" s="17"/>
    <row r="72" ht="15.75" customHeight="1" s="17"/>
    <row r="73" ht="15.75" customHeight="1" s="17"/>
    <row r="74" ht="15.75" customHeight="1" s="17"/>
    <row r="75" ht="15.75" customHeight="1" s="17"/>
    <row r="76" ht="15.75" customHeight="1" s="17"/>
    <row r="77" ht="15.75" customHeight="1" s="17"/>
    <row r="78" ht="15.75" customHeight="1" s="17"/>
    <row r="79" ht="15.75" customHeight="1" s="17"/>
    <row r="80" ht="15.75" customHeight="1" s="17"/>
    <row r="81" ht="15.75" customHeight="1" s="17"/>
    <row r="82" ht="15.75" customHeight="1" s="17"/>
    <row r="83" ht="15.75" customHeight="1" s="17"/>
    <row r="84" ht="15.75" customHeight="1" s="17"/>
    <row r="85" ht="15.75" customHeight="1" s="17"/>
    <row r="86" ht="15.75" customHeight="1" s="17"/>
    <row r="87" ht="15.75" customHeight="1" s="17"/>
    <row r="88" ht="15.75" customHeight="1" s="17"/>
    <row r="89" ht="15.75" customHeight="1" s="17"/>
    <row r="90" ht="15.75" customHeight="1" s="17"/>
    <row r="91" ht="15.75" customHeight="1" s="17"/>
    <row r="92" ht="15.75" customHeight="1" s="17"/>
    <row r="93" ht="15.75" customHeight="1" s="17"/>
    <row r="94" ht="15.75" customHeight="1" s="17"/>
    <row r="95" ht="15.75" customHeight="1" s="17"/>
    <row r="96" ht="15.75" customHeight="1" s="17"/>
    <row r="97" ht="15.75" customHeight="1" s="17"/>
    <row r="98" ht="15.75" customHeight="1" s="17"/>
    <row r="99" ht="15.75" customHeight="1" s="17"/>
    <row r="100" ht="15.75" customHeight="1" s="17"/>
    <row r="101" ht="15.75" customHeight="1" s="17"/>
    <row r="102" ht="15.75" customHeight="1" s="17"/>
    <row r="103" ht="15.75" customHeight="1" s="17"/>
    <row r="104" ht="15.75" customHeight="1" s="17"/>
    <row r="105" ht="15.75" customHeight="1" s="17"/>
    <row r="106" ht="15.75" customHeight="1" s="17"/>
    <row r="107" ht="15.75" customHeight="1" s="17"/>
    <row r="108" ht="15.75" customHeight="1" s="17"/>
    <row r="109" ht="15.75" customHeight="1" s="17"/>
    <row r="110" ht="15.75" customHeight="1" s="17"/>
    <row r="111" ht="15.75" customHeight="1" s="17"/>
    <row r="112" ht="15.75" customHeight="1" s="17"/>
    <row r="113" ht="15.75" customHeight="1" s="17"/>
    <row r="114" ht="15.75" customHeight="1" s="17"/>
    <row r="115" ht="15.75" customHeight="1" s="17"/>
    <row r="116" ht="15.75" customHeight="1" s="17"/>
    <row r="117" ht="15.75" customHeight="1" s="17"/>
    <row r="118" ht="15.75" customHeight="1" s="17"/>
    <row r="119" ht="15.75" customHeight="1" s="17"/>
    <row r="120" ht="15.75" customHeight="1" s="17"/>
    <row r="121" ht="15.75" customHeight="1" s="17"/>
    <row r="122" ht="15.75" customHeight="1" s="17"/>
    <row r="123" ht="15.75" customHeight="1" s="17"/>
    <row r="124" ht="15.75" customHeight="1" s="17"/>
    <row r="125" ht="15.75" customHeight="1" s="17"/>
    <row r="126" ht="15.75" customHeight="1" s="17"/>
    <row r="127" ht="15.75" customHeight="1" s="17"/>
    <row r="128" ht="15.75" customHeight="1" s="17"/>
    <row r="129" ht="15.75" customHeight="1" s="17"/>
    <row r="130" ht="15.75" customHeight="1" s="17"/>
    <row r="131" ht="15.75" customHeight="1" s="17"/>
    <row r="132" ht="15.75" customHeight="1" s="17"/>
    <row r="133" ht="15.75" customHeight="1" s="17"/>
    <row r="134" ht="15.75" customHeight="1" s="17"/>
    <row r="135" ht="15.75" customHeight="1" s="17"/>
    <row r="136" ht="15.75" customHeight="1" s="17"/>
    <row r="137" ht="15.75" customHeight="1" s="17"/>
    <row r="138" ht="15.75" customHeight="1" s="17"/>
    <row r="139" ht="15.75" customHeight="1" s="17"/>
    <row r="140" ht="15.75" customHeight="1" s="17"/>
    <row r="141" ht="15.75" customHeight="1" s="17"/>
    <row r="142" ht="15.75" customHeight="1" s="17"/>
    <row r="143" ht="15.75" customHeight="1" s="17"/>
    <row r="144" ht="15.75" customHeight="1" s="17"/>
    <row r="145" ht="15.75" customHeight="1" s="17"/>
    <row r="146" ht="15.75" customHeight="1" s="17"/>
    <row r="147" ht="15.75" customHeight="1" s="17"/>
    <row r="148" ht="15.75" customHeight="1" s="17"/>
    <row r="149" ht="15.75" customHeight="1" s="17"/>
    <row r="150" ht="15.75" customHeight="1" s="17"/>
    <row r="151" ht="15.75" customHeight="1" s="17"/>
    <row r="152" ht="15.75" customHeight="1" s="17"/>
    <row r="153" ht="15.75" customHeight="1" s="17"/>
    <row r="154" ht="15.75" customHeight="1" s="17"/>
    <row r="155" ht="15.75" customHeight="1" s="17"/>
    <row r="156" ht="15.75" customHeight="1" s="17"/>
    <row r="157" ht="15.75" customHeight="1" s="17"/>
    <row r="158" ht="15.75" customHeight="1" s="17"/>
    <row r="159" ht="15.75" customHeight="1" s="17"/>
    <row r="160" ht="15.75" customHeight="1" s="17"/>
    <row r="161" ht="15.75" customHeight="1" s="17"/>
    <row r="162" ht="15.75" customHeight="1" s="17"/>
    <row r="163" ht="15.75" customHeight="1" s="17"/>
    <row r="164" ht="15.75" customHeight="1" s="17"/>
    <row r="165" ht="15.75" customHeight="1" s="17"/>
    <row r="166" ht="15.75" customHeight="1" s="17"/>
    <row r="167" ht="15.75" customHeight="1" s="17"/>
    <row r="168" ht="15.75" customHeight="1" s="17"/>
    <row r="169" ht="15.75" customHeight="1" s="17"/>
    <row r="170" ht="15.75" customHeight="1" s="17"/>
    <row r="171" ht="15.75" customHeight="1" s="17"/>
    <row r="172" ht="15.75" customHeight="1" s="17"/>
    <row r="173" ht="15.75" customHeight="1" s="17"/>
    <row r="174" ht="15.75" customHeight="1" s="17"/>
    <row r="175" ht="15.75" customHeight="1" s="17"/>
    <row r="176" ht="15.75" customHeight="1" s="17"/>
    <row r="177" ht="15.75" customHeight="1" s="17"/>
    <row r="178" ht="15.75" customHeight="1" s="17"/>
    <row r="179" ht="15.75" customHeight="1" s="17"/>
    <row r="180" ht="15.75" customHeight="1" s="17"/>
    <row r="181" ht="15.75" customHeight="1" s="17"/>
    <row r="182" ht="15.75" customHeight="1" s="17"/>
    <row r="183" ht="15.75" customHeight="1" s="17"/>
    <row r="184" ht="15.75" customHeight="1" s="17"/>
    <row r="185" ht="15.75" customHeight="1" s="17"/>
    <row r="186" ht="15.75" customHeight="1" s="17"/>
    <row r="187" ht="15.75" customHeight="1" s="17"/>
    <row r="188" ht="15.75" customHeight="1" s="17"/>
    <row r="189" ht="15.75" customHeight="1" s="17"/>
    <row r="190" ht="15.75" customHeight="1" s="17"/>
    <row r="191" ht="15.75" customHeight="1" s="17"/>
    <row r="192" ht="15.75" customHeight="1" s="17"/>
    <row r="193" ht="15.75" customHeight="1" s="17"/>
    <row r="194" ht="15.75" customHeight="1" s="17"/>
    <row r="195" ht="15.75" customHeight="1" s="17"/>
    <row r="196" ht="15.75" customHeight="1" s="17"/>
    <row r="197" ht="15.75" customHeight="1" s="17"/>
    <row r="198" ht="15.75" customHeight="1" s="17"/>
    <row r="199" ht="15.75" customHeight="1" s="17"/>
    <row r="200" ht="15.75" customHeight="1" s="17"/>
    <row r="201" ht="15.75" customHeight="1" s="17"/>
    <row r="202" ht="15.75" customHeight="1" s="17"/>
    <row r="203" ht="15.75" customHeight="1" s="17"/>
    <row r="204" ht="15.75" customHeight="1" s="17"/>
    <row r="205" ht="15.75" customHeight="1" s="17"/>
    <row r="206" ht="15.75" customHeight="1" s="17"/>
    <row r="207" ht="15.75" customHeight="1" s="17"/>
    <row r="208" ht="15.75" customHeight="1" s="17"/>
    <row r="209" ht="15.75" customHeight="1" s="17"/>
    <row r="210" ht="15.75" customHeight="1" s="17"/>
    <row r="211" ht="15.75" customHeight="1" s="17"/>
    <row r="212" ht="15.75" customHeight="1" s="17"/>
    <row r="213" ht="15.75" customHeight="1" s="17"/>
    <row r="214" ht="15.75" customHeight="1" s="17"/>
    <row r="215" ht="15.75" customHeight="1" s="17"/>
    <row r="216" ht="15.75" customHeight="1" s="17"/>
    <row r="217" ht="15.75" customHeight="1" s="17"/>
    <row r="218" ht="15.75" customHeight="1" s="17"/>
    <row r="219" ht="15.75" customHeight="1" s="17"/>
    <row r="220" ht="15.75" customHeight="1" s="17"/>
    <row r="221" ht="15.75" customHeight="1" s="17"/>
    <row r="222" ht="15.75" customHeight="1" s="17"/>
    <row r="223" ht="15.75" customHeight="1" s="17"/>
    <row r="224" ht="15.75" customHeight="1" s="17"/>
    <row r="225" ht="15.75" customHeight="1" s="17"/>
    <row r="226" ht="15.75" customHeight="1" s="17"/>
    <row r="227" ht="15.75" customHeight="1" s="17"/>
    <row r="228" ht="15.75" customHeight="1" s="17"/>
    <row r="229" ht="15.75" customHeight="1" s="17"/>
    <row r="230" ht="15.75" customHeight="1" s="17"/>
    <row r="231" ht="15.75" customHeight="1" s="17"/>
    <row r="232" ht="15.75" customHeight="1" s="17"/>
    <row r="233" ht="15.75" customHeight="1" s="17"/>
    <row r="234" ht="15.75" customHeight="1" s="17"/>
    <row r="235" ht="15.75" customHeight="1" s="17"/>
    <row r="236" ht="15.7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1">
    <mergeCell ref="A1:U1"/>
  </mergeCells>
  <conditionalFormatting sqref="U3:U1000">
    <cfRule type="cellIs" priority="1" operator="equal" dxfId="1">
      <formula>"Pass"</formula>
    </cfRule>
    <cfRule type="cellIs" priority="2" operator="equal" dxfId="0">
      <formula>"Fail"</formula>
    </cfRule>
  </conditionalFormatting>
  <dataValidations count="2">
    <dataValidation sqref="O3:O51 R3:R51" showDropDown="0" showInputMessage="0" showErrorMessage="0" allowBlank="1" type="list">
      <formula1>"Pass,Fail,Doing,Blocked,N/A"</formula1>
    </dataValidation>
    <dataValidation sqref="P3:P51 S3:S51" showDropDown="0" showInputMessage="0" showErrorMessage="0" allowBlank="1" type="list">
      <formula1>"Định,Thanh,Vân Anh,Hiệp"</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U45"/>
  <sheetViews>
    <sheetView workbookViewId="0">
      <selection activeCell="A1" sqref="A1"/>
    </sheetView>
  </sheetViews>
  <sheetFormatPr baseColWidth="8" defaultRowHeight="15"/>
  <cols>
    <col width="14" customWidth="1" style="17" min="1" max="1"/>
    <col width="8" customWidth="1" style="17" min="2" max="2"/>
    <col width="22" customWidth="1" style="17" min="3" max="3"/>
    <col width="38" customWidth="1" style="17" min="4" max="4"/>
    <col width="12" customWidth="1" style="17" min="5" max="5"/>
    <col width="12" customWidth="1" style="17" min="6" max="6"/>
    <col width="9" customWidth="1" style="17" min="7" max="7"/>
    <col width="32" customWidth="1" style="17" min="8" max="8"/>
    <col width="42" customWidth="1" style="17" min="9" max="9"/>
    <col width="52" customWidth="1" style="17" min="10" max="10"/>
    <col width="22" customWidth="1" style="17" min="11" max="11"/>
    <col width="14" customWidth="1" style="17" min="12" max="12"/>
    <col width="14" customWidth="1" style="17" min="13" max="13"/>
    <col width="22" customWidth="1" style="17" min="14" max="14"/>
    <col width="12" customWidth="1" style="17" min="15" max="15"/>
    <col width="12" customWidth="1" style="17" min="16" max="16"/>
    <col width="12" customWidth="1" style="17" min="17" max="17"/>
    <col width="12" customWidth="1" style="17" min="18" max="18"/>
    <col width="12" customWidth="1" style="17" min="19" max="19"/>
    <col width="12" customWidth="1" style="17" min="20" max="20"/>
    <col width="12" customWidth="1" style="17" min="21" max="21"/>
  </cols>
  <sheetData>
    <row r="1">
      <c r="A1" s="24" t="inlineStr">
        <is>
          <t xml:space="preserve">TEST CASES — II.5.1.5.  PR.05- Chương trình ưu đãi </t>
        </is>
      </c>
      <c r="B1" s="24" t="n"/>
      <c r="C1" s="24" t="n"/>
      <c r="D1" s="24" t="n"/>
      <c r="E1" s="24" t="n"/>
      <c r="F1" s="24" t="n"/>
      <c r="G1" s="24" t="n"/>
      <c r="H1" s="24" t="n"/>
      <c r="I1" s="24" t="n"/>
      <c r="J1" s="24" t="n"/>
      <c r="K1" s="24" t="n"/>
      <c r="L1" s="24" t="n"/>
      <c r="M1" s="24" t="n"/>
      <c r="N1" s="24" t="n"/>
      <c r="O1" s="24" t="n"/>
      <c r="P1" s="24" t="n"/>
      <c r="Q1" s="24" t="n"/>
      <c r="R1" s="24" t="n"/>
      <c r="S1" s="24" t="n"/>
      <c r="T1" s="24" t="n"/>
      <c r="U1" s="24" t="n"/>
    </row>
    <row r="2">
      <c r="A2" s="25" t="inlineStr">
        <is>
          <t>TC_ID</t>
        </is>
      </c>
      <c r="B2" s="25" t="inlineStr">
        <is>
          <t>Module</t>
        </is>
      </c>
      <c r="C2" s="25" t="inlineStr">
        <is>
          <t>Feature</t>
        </is>
      </c>
      <c r="D2" s="25" t="inlineStr">
        <is>
          <t>Title</t>
        </is>
      </c>
      <c r="E2" s="25" t="inlineStr">
        <is>
          <t>Type</t>
        </is>
      </c>
      <c r="F2" s="25" t="inlineStr">
        <is>
          <t>Category</t>
        </is>
      </c>
      <c r="G2" s="25" t="inlineStr">
        <is>
          <t>Priority</t>
        </is>
      </c>
      <c r="H2" s="25" t="inlineStr">
        <is>
          <t>Precondition</t>
        </is>
      </c>
      <c r="I2" s="25" t="inlineStr">
        <is>
          <t>Steps</t>
        </is>
      </c>
      <c r="J2" s="25" t="inlineStr">
        <is>
          <t>Expected</t>
        </is>
      </c>
      <c r="K2" s="25" t="inlineStr">
        <is>
          <t>URD_Ref</t>
        </is>
      </c>
      <c r="L2" s="25" t="inlineStr">
        <is>
          <t>BR_Ref</t>
        </is>
      </c>
      <c r="M2" s="25" t="inlineStr">
        <is>
          <t>Trace_ID</t>
        </is>
      </c>
      <c r="N2" s="25" t="inlineStr">
        <is>
          <t>Note</t>
        </is>
      </c>
      <c r="O2" s="25" t="inlineStr">
        <is>
          <t>Status R1</t>
        </is>
      </c>
      <c r="P2" s="25" t="inlineStr">
        <is>
          <t>Tester R1</t>
        </is>
      </c>
      <c r="Q2" s="25" t="inlineStr">
        <is>
          <t>Date R1</t>
        </is>
      </c>
      <c r="R2" s="25" t="inlineStr">
        <is>
          <t>Status R2</t>
        </is>
      </c>
      <c r="S2" s="25" t="inlineStr">
        <is>
          <t>Tester R2</t>
        </is>
      </c>
      <c r="T2" s="25" t="inlineStr">
        <is>
          <t>Date R2</t>
        </is>
      </c>
      <c r="U2" s="25" t="inlineStr">
        <is>
          <t>Final Status</t>
        </is>
      </c>
    </row>
    <row r="3">
      <c r="A3" s="23" t="inlineStr">
        <is>
          <t>PR05-BR01-NEG-001</t>
        </is>
      </c>
      <c r="B3" s="23" t="inlineStr">
        <is>
          <t>PR05</t>
        </is>
      </c>
      <c r="C3" s="23" t="inlineStr">
        <is>
          <t>Chương trình ưu đãi - Thêm mới</t>
        </is>
      </c>
      <c r="D3" s="23" t="inlineStr">
        <is>
          <t>Thiếu trường bắt buộc khi thêm mới CTƯĐ → chặn lưu</t>
        </is>
      </c>
      <c r="E3" s="23" t="inlineStr">
        <is>
          <t>Negative</t>
        </is>
      </c>
      <c r="F3" s="23" t="inlineStr">
        <is>
          <t>Smoke</t>
        </is>
      </c>
      <c r="G3" s="23" t="inlineStr">
        <is>
          <t>P1</t>
        </is>
      </c>
      <c r="H3" s="23" t="inlineStr">
        <is>
          <t>Maker đăng nhập; Tồn tại tối thiểu 1 Biểu phí và Code phí; Ngày T</t>
        </is>
      </c>
      <c r="I3" s="23" t="inlineStr">
        <is>
          <t>1) Mở PR.05 từ menu;
2) Nhấn 'Thêm mới';
3) Bỏ trống 1+ trường bắt buộc (ví dụ Tên hoặc Mã CTƯĐ);
4) Nhấn 'Xác nhận'</t>
        </is>
      </c>
      <c r="J3" s="23" t="inlineStr">
        <is>
          <t>(i) Logic: Thiếu trường bắt buộc → không hợp lệ.
(ii) UI: Hiển thị lỗi/đánh dấu trường bắt buộc.
(iii) OT.01: không áp dụng (chưa tạo).
(iv) Data: Không tạo bản ghi/audit.</t>
        </is>
      </c>
      <c r="K3" s="23" t="inlineStr">
        <is>
          <t>II.5.1.5.2/BR_01</t>
        </is>
      </c>
      <c r="L3" s="23" t="inlineStr">
        <is>
          <t>BR_01</t>
        </is>
      </c>
      <c r="M3" s="23" t="inlineStr">
        <is>
          <t>BR01-REQUIRED-BLOCK</t>
        </is>
      </c>
      <c r="N3" s="23" t="n"/>
      <c r="O3" s="23" t="n"/>
      <c r="P3" s="23" t="n"/>
      <c r="Q3" s="23" t="n"/>
      <c r="R3" s="23" t="n"/>
      <c r="S3" s="23" t="n"/>
      <c r="T3" s="23" t="n"/>
      <c r="U3" s="23" t="n"/>
    </row>
    <row r="4">
      <c r="A4" s="23" t="inlineStr">
        <is>
          <t>PR05-BR01-HAPPY-002</t>
        </is>
      </c>
      <c r="B4" s="23" t="inlineStr">
        <is>
          <t>PR05</t>
        </is>
      </c>
      <c r="C4" s="23" t="inlineStr">
        <is>
          <t>Chương trình ưu đãi - Thêm mới</t>
        </is>
      </c>
      <c r="D4" s="23" t="inlineStr">
        <is>
          <t>Cho phép 1 KH thuộc nhiều CTƯĐ (không chặn khi trùng KH giữa CTƯĐ)</t>
        </is>
      </c>
      <c r="E4" s="23" t="inlineStr">
        <is>
          <t>Happy</t>
        </is>
      </c>
      <c r="F4" s="23" t="inlineStr">
        <is>
          <t>Regression</t>
        </is>
      </c>
      <c r="G4" s="23" t="inlineStr">
        <is>
          <t>P2</t>
        </is>
      </c>
      <c r="H4" s="23" t="inlineStr">
        <is>
          <t>CTƯĐ A đã lưu KH K1; Maker đăng nhập; Ngày T</t>
        </is>
      </c>
      <c r="I4" s="23" t="inlineStr">
        <is>
          <t>1) Thêm mới CTƯĐ B;
2) Ở tab Đối tượng áp dụng: thêm KH K1 (thủ công hoặc upload);
3) Hoàn thiện cấu hình ưu đãi;
4) Nhấn 'Xác nhận'</t>
        </is>
      </c>
      <c r="J4" s="23" t="inlineStr">
        <is>
          <t>(i) Logic: Cho phép K1 xuất hiện ở nhiều CTƯĐ; hệ thống sẽ áp dụng mức ưu đãi tối ưu khi tính phí (ngoài phạm vi màn hình).
(ii) UI: Lưu thành công, không cảnh báo chặn.
(iii) OT.01: Sinh tác vụ 'Chờ duyệt'.
(iv) Data: Bản ghi CTƯĐ B trạng thái Chờ duyệt; audit CREATE.</t>
        </is>
      </c>
      <c r="K4" s="23" t="inlineStr">
        <is>
          <t>II.5.1.5.2/BR_01</t>
        </is>
      </c>
      <c r="L4" s="23" t="inlineStr">
        <is>
          <t>BR_01</t>
        </is>
      </c>
      <c r="M4" s="23" t="inlineStr">
        <is>
          <t>BR01-MULTI-PROG</t>
        </is>
      </c>
      <c r="N4" s="23" t="n"/>
      <c r="O4" s="23" t="n"/>
      <c r="P4" s="23" t="n"/>
      <c r="Q4" s="23" t="n"/>
      <c r="R4" s="23" t="n"/>
      <c r="S4" s="23" t="n"/>
      <c r="T4" s="23" t="n"/>
      <c r="U4" s="23" t="n"/>
    </row>
    <row r="5">
      <c r="A5" s="23" t="inlineStr">
        <is>
          <t>PR05-BR02-NEG-001</t>
        </is>
      </c>
      <c r="B5" s="23" t="inlineStr">
        <is>
          <t>PR05</t>
        </is>
      </c>
      <c r="C5" s="23" t="inlineStr">
        <is>
          <t>Chương trình ưu đãi - Thêm mới</t>
        </is>
      </c>
      <c r="D5" s="23" t="inlineStr">
        <is>
          <t>Đóng/Hủy form thêm mới → không lưu dữ liệu</t>
        </is>
      </c>
      <c r="E5" s="23" t="inlineStr">
        <is>
          <t>Negative</t>
        </is>
      </c>
      <c r="F5" s="23" t="inlineStr">
        <is>
          <t>Regression</t>
        </is>
      </c>
      <c r="G5" s="23" t="inlineStr">
        <is>
          <t>P3</t>
        </is>
      </c>
      <c r="H5" s="23" t="inlineStr">
        <is>
          <t>Form Thêm mới đang mở; đã nhập vài trường</t>
        </is>
      </c>
      <c r="I5" s="23" t="inlineStr">
        <is>
          <t>1) Nhập vài trường tuỳ ý;
2) Nhấn 'Đóng' hoặc 'Huỷ';
3) Quay lại lưới PR.05 tìm theo dữ liệu vừa nhập</t>
        </is>
      </c>
      <c r="J5" s="23" t="inlineStr">
        <is>
          <t>(i) Logic: Không lưu dữ liệu khi người dùng đóng/huỷ.
(ii) UI: Form đóng; không có toast thành công.
(iii) OT.01: không áp dụng.
(iv) Data: Không phát sinh bản ghi/audit.</t>
        </is>
      </c>
      <c r="K5" s="23" t="inlineStr">
        <is>
          <t>II.5.1.5.2/BR_02</t>
        </is>
      </c>
      <c r="L5" s="23" t="inlineStr">
        <is>
          <t>BR_02</t>
        </is>
      </c>
      <c r="M5" s="23" t="inlineStr">
        <is>
          <t>BR02-CLOSE-NOSAVE</t>
        </is>
      </c>
      <c r="N5" s="23" t="n"/>
      <c r="O5" s="23" t="n"/>
      <c r="P5" s="23" t="n"/>
      <c r="Q5" s="23" t="n"/>
      <c r="R5" s="23" t="n"/>
      <c r="S5" s="23" t="n"/>
      <c r="T5" s="23" t="n"/>
      <c r="U5" s="23" t="n"/>
    </row>
    <row r="6">
      <c r="A6" s="23" t="inlineStr">
        <is>
          <t>PR05-BR03-NEG-001</t>
        </is>
      </c>
      <c r="B6" s="23" t="inlineStr">
        <is>
          <t>PR05</t>
        </is>
      </c>
      <c r="C6" s="23" t="inlineStr">
        <is>
          <t>Chương trình ưu đãi - Thêm mới</t>
        </is>
      </c>
      <c r="D6" s="23" t="inlineStr">
        <is>
          <t>Trùng Tên CTƯĐ với bản ghi đã tồn tại → chặn lưu</t>
        </is>
      </c>
      <c r="E6" s="23" t="inlineStr">
        <is>
          <t>Negative</t>
        </is>
      </c>
      <c r="F6" s="23" t="inlineStr">
        <is>
          <t>Smoke</t>
        </is>
      </c>
      <c r="G6" s="23" t="inlineStr">
        <is>
          <t>P1</t>
        </is>
      </c>
      <c r="H6" s="23" t="inlineStr">
        <is>
          <t>Đã có CTƯĐ tên 'X' trong hệ thống; Maker đăng nhập</t>
        </is>
      </c>
      <c r="I6" s="23" t="inlineStr">
        <is>
          <t>1) Nhấn 'Thêm mới';
2) Nhập Tên CTƯĐ = 'X';
3) Điền các trường khác hợp lệ;
4) 'Xác nhận'</t>
        </is>
      </c>
      <c r="J6" s="23" t="inlineStr">
        <is>
          <t>(i) Logic: Tên CTƯĐ phải duy nhất → từ chối.
(ii) UI: Thông báo tên trùng.
(iii) OT.01: không áp dụng.
(iv) Data: Không tạo bản ghi/audit.</t>
        </is>
      </c>
      <c r="K6" s="23" t="inlineStr">
        <is>
          <t>II.5.1.5.2/BR_03</t>
        </is>
      </c>
      <c r="L6" s="23" t="inlineStr">
        <is>
          <t>BR_03</t>
        </is>
      </c>
      <c r="M6" s="23" t="inlineStr">
        <is>
          <t>BR03-DUP-NAME</t>
        </is>
      </c>
      <c r="N6" s="23" t="n"/>
      <c r="O6" s="23" t="n"/>
      <c r="P6" s="23" t="n"/>
      <c r="Q6" s="23" t="n"/>
      <c r="R6" s="23" t="n"/>
      <c r="S6" s="23" t="n"/>
      <c r="T6" s="23" t="n"/>
      <c r="U6" s="23" t="n"/>
    </row>
    <row r="7">
      <c r="A7" s="23" t="inlineStr">
        <is>
          <t>PR05-BR03-NEG-002</t>
        </is>
      </c>
      <c r="B7" s="23" t="inlineStr">
        <is>
          <t>PR05</t>
        </is>
      </c>
      <c r="C7" s="23" t="inlineStr">
        <is>
          <t>Chương trình ưu đãi - Thêm mới</t>
        </is>
      </c>
      <c r="D7" s="23" t="inlineStr">
        <is>
          <t>Trùng Mã CTƯĐ với bản ghi đã tồn tại → chặn lưu</t>
        </is>
      </c>
      <c r="E7" s="23" t="inlineStr">
        <is>
          <t>Negative</t>
        </is>
      </c>
      <c r="F7" s="23" t="inlineStr">
        <is>
          <t>Smoke</t>
        </is>
      </c>
      <c r="G7" s="23" t="inlineStr">
        <is>
          <t>P1</t>
        </is>
      </c>
      <c r="H7" s="23" t="inlineStr">
        <is>
          <t>Đã có CTƯĐ mã 'Y' trong hệ thống; Maker đăng nhập</t>
        </is>
      </c>
      <c r="I7" s="23" t="inlineStr">
        <is>
          <t>1) Nhấn 'Thêm mới';
2) Nhập Mã CTƯĐ = 'Y';
3) Điền các trường khác hợp lệ;
4) 'Xác nhận'</t>
        </is>
      </c>
      <c r="J7" s="23" t="inlineStr">
        <is>
          <t>(i) Logic: Mã CTƯĐ phải duy nhất → từ chối.
(ii) UI: Thông báo mã trùng.
(iii) OT.01: không áp dụng.
(iv) Data: Không tạo bản ghi/audit.</t>
        </is>
      </c>
      <c r="K7" s="23" t="inlineStr">
        <is>
          <t>II.5.1.5.2/BR_03</t>
        </is>
      </c>
      <c r="L7" s="23" t="inlineStr">
        <is>
          <t>BR_03</t>
        </is>
      </c>
      <c r="M7" s="23" t="inlineStr">
        <is>
          <t>BR03-DUP-CODE</t>
        </is>
      </c>
      <c r="N7" s="23" t="n"/>
      <c r="O7" s="23" t="n"/>
      <c r="P7" s="23" t="n"/>
      <c r="Q7" s="23" t="n"/>
      <c r="R7" s="23" t="n"/>
      <c r="S7" s="23" t="n"/>
      <c r="T7" s="23" t="n"/>
      <c r="U7" s="23" t="n"/>
    </row>
    <row r="8">
      <c r="A8" s="23" t="inlineStr">
        <is>
          <t>PR05-BR04-HAPPY-001</t>
        </is>
      </c>
      <c r="B8" s="23" t="inlineStr">
        <is>
          <t>PR05</t>
        </is>
      </c>
      <c r="C8" s="23" t="inlineStr">
        <is>
          <t>Chương trình ưu đãi - Thêm mới</t>
        </is>
      </c>
      <c r="D8" s="23" t="inlineStr">
        <is>
          <t>Chỉ chọn được 1 Loại ưu đãi (biểu phí hoặc code phí)</t>
        </is>
      </c>
      <c r="E8" s="23" t="inlineStr">
        <is>
          <t>Happy</t>
        </is>
      </c>
      <c r="F8" s="23" t="inlineStr">
        <is>
          <t>Regression</t>
        </is>
      </c>
      <c r="G8" s="23" t="inlineStr">
        <is>
          <t>P2</t>
        </is>
      </c>
      <c r="H8" s="23" t="inlineStr">
        <is>
          <t>Maker đăng nhập</t>
        </is>
      </c>
      <c r="I8" s="23" t="inlineStr">
        <is>
          <t>1) Nhấn 'Thêm mới';
2) Quan sát điều khiển 'Loại ưu đãi';
3) Chọn 'Ưu đãi theo biểu phí';
4) Thử đồng thời chọn 'Ưu đãi theo code phí'</t>
        </is>
      </c>
      <c r="J8" s="23" t="inlineStr">
        <is>
          <t>(i) Logic: Chỉ 1 loại được chọn.
(ii) UI: Điều khiển radio/single-select ngăn chọn đồng thời.
(iii) OT.01: không áp dụng.
(iv) Data: Nếu lưu, chỉ lưu loại đã chọn.</t>
        </is>
      </c>
      <c r="K8" s="23" t="inlineStr">
        <is>
          <t>II.5.1.5.2/BR_04</t>
        </is>
      </c>
      <c r="L8" s="23" t="inlineStr">
        <is>
          <t>BR_04</t>
        </is>
      </c>
      <c r="M8" s="23" t="inlineStr">
        <is>
          <t>BR04-TYPE-MUTEX</t>
        </is>
      </c>
      <c r="N8" s="23" t="n"/>
      <c r="O8" s="23" t="n"/>
      <c r="P8" s="23" t="n"/>
      <c r="Q8" s="23" t="n"/>
      <c r="R8" s="23" t="n"/>
      <c r="S8" s="23" t="n"/>
      <c r="T8" s="23" t="n"/>
      <c r="U8" s="23" t="n"/>
    </row>
    <row r="9">
      <c r="A9" s="23" t="inlineStr">
        <is>
          <t>PR05-BR05-HAPPY-001</t>
        </is>
      </c>
      <c r="B9" s="23" t="inlineStr">
        <is>
          <t>PR05</t>
        </is>
      </c>
      <c r="C9" s="23" t="inlineStr">
        <is>
          <t>Chương trình ưu đãi - Thêm mới</t>
        </is>
      </c>
      <c r="D9" s="23" t="inlineStr">
        <is>
          <t>Loại = Biểu phí: chọn nhiều Biểu phí, áp dụng % cố định</t>
        </is>
      </c>
      <c r="E9" s="23" t="inlineStr">
        <is>
          <t>Happy</t>
        </is>
      </c>
      <c r="F9" s="23" t="inlineStr">
        <is>
          <t>Smoke</t>
        </is>
      </c>
      <c r="G9" s="23" t="inlineStr">
        <is>
          <t>P1</t>
        </is>
      </c>
      <c r="H9" s="23" t="inlineStr">
        <is>
          <t>Maker đăng nhập; Có ≥2 Biểu phí hiện hành</t>
        </is>
      </c>
      <c r="I9" s="23" t="inlineStr">
        <is>
          <t>1) Thêm mới CTƯĐ;
2) Chọn Loại=Ưu đãi theo biểu phí;
3) Chọn 2 Biểu phí; nhập % ưu đãi (ví dụ 10%);
4) 'Xác nhận'</t>
        </is>
      </c>
      <c r="J9" s="23" t="inlineStr">
        <is>
          <t>(i) Logic: Cho phép nhiều Biểu phí; chỉ quy tắc % cố định.
(ii) UI: Không cho chọn quy tắc khác; lưu thành công.
(iii) OT.01: Sinh tác vụ Chờ duyệt.
(iv) Data: Không hiển thị trên lưới trước duyệt; audit CREATE.</t>
        </is>
      </c>
      <c r="K9" s="23" t="inlineStr">
        <is>
          <t>II.5.1.5.2/BR_05</t>
        </is>
      </c>
      <c r="L9" s="23" t="inlineStr">
        <is>
          <t>BR_05</t>
        </is>
      </c>
      <c r="M9" s="23" t="inlineStr">
        <is>
          <t>BR05-FEE-FIXPCT</t>
        </is>
      </c>
      <c r="N9" s="23" t="n"/>
      <c r="O9" s="23" t="n"/>
      <c r="P9" s="23" t="n"/>
      <c r="Q9" s="23" t="n"/>
      <c r="R9" s="23" t="n"/>
      <c r="S9" s="23" t="n"/>
      <c r="T9" s="23" t="n"/>
      <c r="U9" s="23" t="n"/>
    </row>
    <row r="10">
      <c r="A10" s="23" t="inlineStr">
        <is>
          <t>PR05-BR05-HAPPY-002</t>
        </is>
      </c>
      <c r="B10" s="23" t="inlineStr">
        <is>
          <t>PR05</t>
        </is>
      </c>
      <c r="C10" s="23" t="inlineStr">
        <is>
          <t>Chương trình ưu đãi - Thêm mới</t>
        </is>
      </c>
      <c r="D10" s="23" t="inlineStr">
        <is>
          <t>Loại = Code phí: thiết lập quy tắc hỗn hợp (%/số tiền/lũy tiến) cho từng code</t>
        </is>
      </c>
      <c r="E10" s="23" t="inlineStr">
        <is>
          <t>Happy</t>
        </is>
      </c>
      <c r="F10" s="23" t="inlineStr">
        <is>
          <t>Smoke</t>
        </is>
      </c>
      <c r="G10" s="23" t="inlineStr">
        <is>
          <t>P1</t>
        </is>
      </c>
      <c r="H10" s="23" t="inlineStr">
        <is>
          <t>Có Biểu phí với ≥3 Code; Maker đăng nhập</t>
        </is>
      </c>
      <c r="I10" s="23" t="inlineStr">
        <is>
          <t>1) Thêm mới CTƯĐ → Loại=Ưu đãi theo code phí;
2) Chọn 1 Biểu phí;
3) Code A: % cố định 15%; Code B: số tiền 20,000; Code C: lũy tiến 3 bậc;
4) 'Xác nhận'</t>
        </is>
      </c>
      <c r="J10" s="23" t="inlineStr">
        <is>
          <t>(i) Logic: Mỗi code có 1 quy tắc riêng; chấp nhận khác nhau giữa các code.
(ii) UI: Lưới cấu hình hiển thị đúng.
(iii) OT.01: Sinh tác vụ Chờ duyệt.
(iv) Data: Ghi chi tiết từng quy tắc.</t>
        </is>
      </c>
      <c r="K10" s="23" t="inlineStr">
        <is>
          <t>II.5.1.5.2/BR_05</t>
        </is>
      </c>
      <c r="L10" s="23" t="inlineStr">
        <is>
          <t>BR_05</t>
        </is>
      </c>
      <c r="M10" s="23" t="inlineStr">
        <is>
          <t>BR05-CODE-MIXED</t>
        </is>
      </c>
      <c r="N10" s="23" t="n"/>
      <c r="O10" s="23" t="n"/>
      <c r="P10" s="23" t="n"/>
      <c r="Q10" s="23" t="n"/>
      <c r="R10" s="23" t="n"/>
      <c r="S10" s="23" t="n"/>
      <c r="T10" s="23" t="n"/>
      <c r="U10" s="23" t="n"/>
    </row>
    <row r="11">
      <c r="A11" s="23" t="inlineStr">
        <is>
          <t>PR05-BR05-NEG-003</t>
        </is>
      </c>
      <c r="B11" s="23" t="inlineStr">
        <is>
          <t>PR05</t>
        </is>
      </c>
      <c r="C11" s="23" t="inlineStr">
        <is>
          <t>Chương trình ưu đãi - Thêm mới</t>
        </is>
      </c>
      <c r="D11" s="23" t="inlineStr">
        <is>
          <t>Loại = Code phí: thiếu quy tắc ở 1 code → chặn lưu</t>
        </is>
      </c>
      <c r="E11" s="23" t="inlineStr">
        <is>
          <t>Negative</t>
        </is>
      </c>
      <c r="F11" s="23" t="inlineStr">
        <is>
          <t>Smoke</t>
        </is>
      </c>
      <c r="G11" s="23" t="inlineStr">
        <is>
          <t>P1</t>
        </is>
      </c>
      <c r="H11" s="23" t="inlineStr">
        <is>
          <t>Có Biểu phí với ≥2 Code</t>
        </is>
      </c>
      <c r="I11" s="23" t="inlineStr">
        <is>
          <t>1) Loại=Ưu đãi theo code phí;
2) Chọn 1 Biểu phí và tick 2 Code;
3) Chỉ cấu hình quy tắc cho 1 Code;
4) 'Xác nhận'</t>
        </is>
      </c>
      <c r="J11" s="23" t="inlineStr">
        <is>
          <t>(i) Logic: Mỗi code cần 1 quy tắc → từ chối.
(ii) UI: Lỗi tại dòng chưa cấu hình.
(iii) OT.01: không áp dụng.
(iv) Data: Không tạo bản ghi.</t>
        </is>
      </c>
      <c r="K11" s="23" t="inlineStr">
        <is>
          <t>II.5.1.5.2/BR_05</t>
        </is>
      </c>
      <c r="L11" s="23" t="inlineStr">
        <is>
          <t>BR_05</t>
        </is>
      </c>
      <c r="M11" s="23" t="inlineStr">
        <is>
          <t>BR05-CODE-RULE-REQ</t>
        </is>
      </c>
      <c r="N11" s="23" t="n"/>
      <c r="O11" s="23" t="n"/>
      <c r="P11" s="23" t="n"/>
      <c r="Q11" s="23" t="n"/>
      <c r="R11" s="23" t="n"/>
      <c r="S11" s="23" t="n"/>
      <c r="T11" s="23" t="n"/>
      <c r="U11" s="23" t="n"/>
    </row>
    <row r="12">
      <c r="A12" s="23" t="inlineStr">
        <is>
          <t>PR05-BR05-BOUND-004</t>
        </is>
      </c>
      <c r="B12" s="23" t="inlineStr">
        <is>
          <t>PR05</t>
        </is>
      </c>
      <c r="C12" s="23" t="inlineStr">
        <is>
          <t>Chương trình ưu đãi - Thêm mới</t>
        </is>
      </c>
      <c r="D12" s="23" t="inlineStr">
        <is>
          <t>% ưu đãi &gt;100 hoặc ≤0 → chặn</t>
        </is>
      </c>
      <c r="E12" s="23" t="inlineStr">
        <is>
          <t>Boundary</t>
        </is>
      </c>
      <c r="F12" s="23" t="inlineStr">
        <is>
          <t>Smoke</t>
        </is>
      </c>
      <c r="G12" s="23" t="inlineStr">
        <is>
          <t>P1</t>
        </is>
      </c>
      <c r="H12" s="23" t="inlineStr">
        <is>
          <t>Form Thêm mới mở</t>
        </is>
      </c>
      <c r="I12" s="23" t="inlineStr">
        <is>
          <t>1) Nhập % = 150 → 'Xác nhận';
2) Sửa % = 0 hoặc -5 → 'Xác nhận'</t>
        </is>
      </c>
      <c r="J12" s="23" t="inlineStr">
        <is>
          <t>(i) Logic: % &gt;100 hoặc ≤0 là không hợp lệ.
(ii) UI: Thông báo/ highlight trường.
(iii) OT.01: không áp dụng.
(iv) Data: Không lưu.</t>
        </is>
      </c>
      <c r="K12" s="23" t="inlineStr">
        <is>
          <t>II.5.1.5.2/BR_05</t>
        </is>
      </c>
      <c r="L12" s="23" t="inlineStr">
        <is>
          <t>BR_05</t>
        </is>
      </c>
      <c r="M12" s="23" t="inlineStr">
        <is>
          <t>BR05-PCT-BOUNDARY</t>
        </is>
      </c>
      <c r="N12" s="23" t="n"/>
      <c r="O12" s="23" t="n"/>
      <c r="P12" s="23" t="n"/>
      <c r="Q12" s="23" t="n"/>
      <c r="R12" s="23" t="n"/>
      <c r="S12" s="23" t="n"/>
      <c r="T12" s="23" t="n"/>
      <c r="U12" s="23" t="n"/>
    </row>
    <row r="13">
      <c r="A13" s="23" t="inlineStr">
        <is>
          <t>PR05-BR05-NEG-005</t>
        </is>
      </c>
      <c r="B13" s="23" t="inlineStr">
        <is>
          <t>PR05</t>
        </is>
      </c>
      <c r="C13" s="23" t="inlineStr">
        <is>
          <t>Chương trình ưu đãi - Thêm mới</t>
        </is>
      </c>
      <c r="D13" s="23" t="inlineStr">
        <is>
          <t>Ưu đãi theo số tiền âm → chặn</t>
        </is>
      </c>
      <c r="E13" s="23" t="inlineStr">
        <is>
          <t>Negative</t>
        </is>
      </c>
      <c r="F13" s="23" t="inlineStr">
        <is>
          <t>Regression</t>
        </is>
      </c>
      <c r="G13" s="23" t="inlineStr">
        <is>
          <t>P2</t>
        </is>
      </c>
      <c r="H13" s="23" t="inlineStr">
        <is>
          <t>Loại=Ưu đãi theo code phí; quy tắc số tiền</t>
        </is>
      </c>
      <c r="I13" s="23" t="inlineStr">
        <is>
          <t>1) Chọn số tiền = -10,000;
2) 'Xác nhận'</t>
        </is>
      </c>
      <c r="J13" s="23" t="inlineStr">
        <is>
          <t>(i) Logic: Giá trị âm không hợp lệ.
(ii) UI: Thông báo lỗi.
(iii) OT.01: không áp dụng.
(iv) Data: Không lưu.</t>
        </is>
      </c>
      <c r="K13" s="23" t="inlineStr">
        <is>
          <t>II.5.1.5.2/BR_05</t>
        </is>
      </c>
      <c r="L13" s="23" t="inlineStr">
        <is>
          <t>BR_05</t>
        </is>
      </c>
      <c r="M13" s="23" t="inlineStr">
        <is>
          <t>BR05-AMT-NEG</t>
        </is>
      </c>
      <c r="N13" s="23" t="n"/>
      <c r="O13" s="23" t="n"/>
      <c r="P13" s="23" t="n"/>
      <c r="Q13" s="23" t="n"/>
      <c r="R13" s="23" t="n"/>
      <c r="S13" s="23" t="n"/>
      <c r="T13" s="23" t="n"/>
      <c r="U13" s="23" t="n"/>
    </row>
    <row r="14">
      <c r="A14" s="23" t="inlineStr">
        <is>
          <t>PR05-BR05-HAPPY-006</t>
        </is>
      </c>
      <c r="B14" s="23" t="inlineStr">
        <is>
          <t>PR05</t>
        </is>
      </c>
      <c r="C14" s="23" t="inlineStr">
        <is>
          <t>Chương trình ưu đãi - Thiết lập lũy tiến</t>
        </is>
      </c>
      <c r="D14" s="23" t="inlineStr">
        <is>
          <t>Cấu hình bậc lũy tiến hợp lệ (không chồng lấn; tăng dần)</t>
        </is>
      </c>
      <c r="E14" s="23" t="inlineStr">
        <is>
          <t>Happy</t>
        </is>
      </c>
      <c r="F14" s="23" t="inlineStr">
        <is>
          <t>Regression</t>
        </is>
      </c>
      <c r="G14" s="23" t="inlineStr">
        <is>
          <t>P2</t>
        </is>
      </c>
      <c r="H14" s="23" t="inlineStr">
        <is>
          <t>Loại=Ưu đãi theo code phí; mở popup lũy tiến</t>
        </is>
      </c>
      <c r="I14" s="23" t="inlineStr">
        <is>
          <t>1) Thêm bậc: [0–1tr:5%], [&gt;1tr–5tr:7%], [&gt;5tr:10%];
2) Lưu popup;
3) 'Xác nhận' CTƯĐ</t>
        </is>
      </c>
      <c r="J14" s="23" t="inlineStr">
        <is>
          <t>(i) Logic: Khoảng liên tiếp, không chồng lấn; % hợp lệ.
(ii) UI: Lưới bậc hiển thị đúng; lưu thành công.
(iii) OT.01: Sinh tác vụ Chờ duyệt.
(iv) Data: Lưu chi tiết bậc; audit CREATE.</t>
        </is>
      </c>
      <c r="K14" s="23" t="inlineStr">
        <is>
          <t>II.5.1.5.1; II.5.1.5.2/BR_05</t>
        </is>
      </c>
      <c r="L14" s="23" t="inlineStr">
        <is>
          <t>BR_05</t>
        </is>
      </c>
      <c r="M14" s="23" t="inlineStr">
        <is>
          <t>BR05-LADDER-VALID</t>
        </is>
      </c>
      <c r="N14" s="23" t="n"/>
      <c r="O14" s="23" t="n"/>
      <c r="P14" s="23" t="n"/>
      <c r="Q14" s="23" t="n"/>
      <c r="R14" s="23" t="n"/>
      <c r="S14" s="23" t="n"/>
      <c r="T14" s="23" t="n"/>
      <c r="U14" s="23" t="n"/>
    </row>
    <row r="15">
      <c r="A15" s="23" t="inlineStr">
        <is>
          <t>PR05-BR05-NEG-007</t>
        </is>
      </c>
      <c r="B15" s="23" t="inlineStr">
        <is>
          <t>PR05</t>
        </is>
      </c>
      <c r="C15" s="23" t="inlineStr">
        <is>
          <t>Chương trình ưu đãi - Thiết lập lũy tiến</t>
        </is>
      </c>
      <c r="D15" s="23" t="inlineStr">
        <is>
          <t>Khoảng bậc lũy tiến chồng lấn → chặn</t>
        </is>
      </c>
      <c r="E15" s="23" t="inlineStr">
        <is>
          <t>Negative</t>
        </is>
      </c>
      <c r="F15" s="23" t="inlineStr">
        <is>
          <t>Regression</t>
        </is>
      </c>
      <c r="G15" s="23" t="inlineStr">
        <is>
          <t>P2</t>
        </is>
      </c>
      <c r="H15" s="23" t="inlineStr">
        <is>
          <t>Popup lũy tiến</t>
        </is>
      </c>
      <c r="I15" s="23" t="inlineStr">
        <is>
          <t>1) Thêm bậc [0–1tr];
2) Thêm bậc [0.5tr–2tr];
3) Lưu popup</t>
        </is>
      </c>
      <c r="J15" s="23" t="inlineStr">
        <is>
          <t>(i) Logic: Khoảng chồng lấn → từ chối.
(ii) UI: Báo lỗi tại dòng vi phạm.
(iii) OT.01: không áp dụng.
(iv) Data: Không lưu cấu hình.</t>
        </is>
      </c>
      <c r="K15" s="23" t="inlineStr">
        <is>
          <t>II.5.1.5.2/BR_05</t>
        </is>
      </c>
      <c r="L15" s="23" t="inlineStr">
        <is>
          <t>BR_05</t>
        </is>
      </c>
      <c r="M15" s="23" t="inlineStr">
        <is>
          <t>BR05-LADDER-OVERLAP</t>
        </is>
      </c>
      <c r="N15" s="23" t="n"/>
      <c r="O15" s="23" t="n"/>
      <c r="P15" s="23" t="n"/>
      <c r="Q15" s="23" t="n"/>
      <c r="R15" s="23" t="n"/>
      <c r="S15" s="23" t="n"/>
      <c r="T15" s="23" t="n"/>
      <c r="U15" s="23" t="n"/>
    </row>
    <row r="16">
      <c r="A16" s="23" t="inlineStr">
        <is>
          <t>PR05-BR05-BOUND-008</t>
        </is>
      </c>
      <c r="B16" s="23" t="inlineStr">
        <is>
          <t>PR05</t>
        </is>
      </c>
      <c r="C16" s="23" t="inlineStr">
        <is>
          <t>Chương trình ưu đãi - Thiết lập lũy tiến</t>
        </is>
      </c>
      <c r="D16" s="23" t="inlineStr">
        <is>
          <t>% ưu đãi trong bậc &gt;100 → chặn</t>
        </is>
      </c>
      <c r="E16" s="23" t="inlineStr">
        <is>
          <t>Boundary</t>
        </is>
      </c>
      <c r="F16" s="23" t="inlineStr">
        <is>
          <t>Regression</t>
        </is>
      </c>
      <c r="G16" s="23" t="inlineStr">
        <is>
          <t>P2</t>
        </is>
      </c>
      <c r="H16" s="23" t="inlineStr">
        <is>
          <t>Popup lũy tiến</t>
        </is>
      </c>
      <c r="I16" s="23" t="inlineStr">
        <is>
          <t>1) Thêm bậc [&gt;5tr:120%];
2) Lưu</t>
        </is>
      </c>
      <c r="J16" s="23" t="inlineStr">
        <is>
          <t>(i) Logic: % &gt;100 không hợp lệ.
(ii) UI: Hiển thị lỗi.
(iii) OT.01: không áp dụng.
(iv) Data: Không lưu.</t>
        </is>
      </c>
      <c r="K16" s="23" t="inlineStr">
        <is>
          <t>II.5.1.5.2/BR_05</t>
        </is>
      </c>
      <c r="L16" s="23" t="inlineStr">
        <is>
          <t>BR_05</t>
        </is>
      </c>
      <c r="M16" s="23" t="inlineStr">
        <is>
          <t>BR05-LADDER-PCT</t>
        </is>
      </c>
      <c r="N16" s="23" t="n"/>
      <c r="O16" s="23" t="n"/>
      <c r="P16" s="23" t="n"/>
      <c r="Q16" s="23" t="n"/>
      <c r="R16" s="23" t="n"/>
      <c r="S16" s="23" t="n"/>
      <c r="T16" s="23" t="n"/>
      <c r="U16" s="23" t="n"/>
    </row>
    <row r="17">
      <c r="A17" s="23" t="inlineStr">
        <is>
          <t>PR05-BR06-HAPPY-001</t>
        </is>
      </c>
      <c r="B17" s="23" t="inlineStr">
        <is>
          <t>PR05</t>
        </is>
      </c>
      <c r="C17" s="23" t="inlineStr">
        <is>
          <t>Chương trình ưu đãi - Điều kiện áp dụng</t>
        </is>
      </c>
      <c r="D17" s="23" t="inlineStr">
        <is>
          <t>Điều kiện theo KH/Kênh GD/Tài khoản hợp lệ (gộp biến thể)</t>
        </is>
      </c>
      <c r="E17" s="23" t="inlineStr">
        <is>
          <t>Happy</t>
        </is>
      </c>
      <c r="F17" s="23" t="inlineStr">
        <is>
          <t>Regression</t>
        </is>
      </c>
      <c r="G17" s="23" t="inlineStr">
        <is>
          <t>P2</t>
        </is>
      </c>
      <c r="H17" s="23" t="inlineStr">
        <is>
          <t>Form Thêm mới mở</t>
        </is>
      </c>
      <c r="I17" s="23" t="inlineStr">
        <is>
          <t>1) Thêm điều kiện theo KH hợp lệ;
2) Thêm điều kiện theo giao dịch (kênh, loại GD) hợp lệ;
3) Thêm điều kiện theo tài khoản hợp lệ;
4) Lưu CTƯĐ</t>
        </is>
      </c>
      <c r="J17" s="23" t="inlineStr">
        <is>
          <t>(i) Logic: Điều kiện hợp lệ theo quy tắc tham chiếu KHCN/KHDN.
(ii) UI: Hiển thị đủ điều kiện đã khai báo.
(iii) OT.01: Sinh tác vụ Chờ duyệt.
(iv) Data: Lưu điều kiện vào DB.</t>
        </is>
      </c>
      <c r="K17" s="23" t="inlineStr">
        <is>
          <t>II.5.1.5.2/BR_06</t>
        </is>
      </c>
      <c r="L17" s="23" t="inlineStr">
        <is>
          <t>BR_06</t>
        </is>
      </c>
      <c r="M17" s="23" t="inlineStr">
        <is>
          <t>BR06-COND-VALID</t>
        </is>
      </c>
      <c r="N17" s="23" t="n"/>
      <c r="O17" s="23" t="n"/>
      <c r="P17" s="23" t="n"/>
      <c r="Q17" s="23" t="n"/>
      <c r="R17" s="23" t="n"/>
      <c r="S17" s="23" t="n"/>
      <c r="T17" s="23" t="n"/>
      <c r="U17" s="23" t="n"/>
    </row>
    <row r="18">
      <c r="A18" s="23" t="inlineStr">
        <is>
          <t>PR05-BR06-NEG-002</t>
        </is>
      </c>
      <c r="B18" s="23" t="inlineStr">
        <is>
          <t>PR05</t>
        </is>
      </c>
      <c r="C18" s="23" t="inlineStr">
        <is>
          <t>Chương trình ưu đãi - Điều kiện áp dụng</t>
        </is>
      </c>
      <c r="D18" s="23" t="inlineStr">
        <is>
          <t>Điều kiện theo KH nhập sai định dạng → chặn</t>
        </is>
      </c>
      <c r="E18" s="23" t="inlineStr">
        <is>
          <t>Negative</t>
        </is>
      </c>
      <c r="F18" s="23" t="inlineStr">
        <is>
          <t>Regression</t>
        </is>
      </c>
      <c r="G18" s="23" t="inlineStr">
        <is>
          <t>P2</t>
        </is>
      </c>
      <c r="H18" s="23" t="inlineStr">
        <is>
          <t>Form Thêm mới mở</t>
        </is>
      </c>
      <c r="I18" s="23" t="inlineStr">
        <is>
          <t>1) Nhập điều kiện KH có ký tự cấm/định dạng sai;
2) Lưu</t>
        </is>
      </c>
      <c r="J18" s="23" t="inlineStr">
        <is>
          <t>(i) Logic: Sai định dạng → từ chối.
(ii) UI: Thông báo lỗi rõ ràng.
(iii) OT.01: không áp dụng.
(iv) Data: Không lưu điều kiện sai.</t>
        </is>
      </c>
      <c r="K18" s="23" t="inlineStr">
        <is>
          <t>II.5.1.5.2/BR_06</t>
        </is>
      </c>
      <c r="L18" s="23" t="inlineStr">
        <is>
          <t>BR_06</t>
        </is>
      </c>
      <c r="M18" s="23" t="inlineStr">
        <is>
          <t>BR06-COND-INVALID</t>
        </is>
      </c>
      <c r="N18" s="23" t="n"/>
      <c r="O18" s="23" t="n"/>
      <c r="P18" s="23" t="n"/>
      <c r="Q18" s="23" t="n"/>
      <c r="R18" s="23" t="n"/>
      <c r="S18" s="23" t="n"/>
      <c r="T18" s="23" t="n"/>
      <c r="U18" s="23" t="n"/>
    </row>
    <row r="19">
      <c r="A19" s="23" t="inlineStr">
        <is>
          <t>PR05-BR06-HAPPY-003</t>
        </is>
      </c>
      <c r="B19" s="23" t="inlineStr">
        <is>
          <t>PR05</t>
        </is>
      </c>
      <c r="C19" s="23" t="inlineStr">
        <is>
          <t>Chương trình ưu đãi - Điều kiện áp dụng</t>
        </is>
      </c>
      <c r="D19" s="23" t="inlineStr">
        <is>
          <t>Kết hợp điều kiện KH + GD → áp dụng theo giao cắt</t>
        </is>
      </c>
      <c r="E19" s="23" t="inlineStr">
        <is>
          <t>Happy</t>
        </is>
      </c>
      <c r="F19" s="23" t="inlineStr">
        <is>
          <t>Regression</t>
        </is>
      </c>
      <c r="G19" s="23" t="inlineStr">
        <is>
          <t>P2</t>
        </is>
      </c>
      <c r="H19" s="23" t="inlineStr">
        <is>
          <t>Form Thêm mới mở</t>
        </is>
      </c>
      <c r="I19" s="23" t="inlineStr">
        <is>
          <t>1) Khai báo điều kiện theo KH;
2) Khai báo điều kiện theo GD;
3) Lưu</t>
        </is>
      </c>
      <c r="J19" s="23" t="inlineStr">
        <is>
          <t>(i) Logic: Áp dụng theo giao cắt (intersection) các điều kiện.
(ii) UI: Danh sách điều kiện hiển thị đầy đủ.
(iii) OT.01: Sinh tác vụ Chờ duyệt.
(iv) Data: Lưu đủ hai nhóm điều kiện.</t>
        </is>
      </c>
      <c r="K19" s="23" t="inlineStr">
        <is>
          <t>II.5.1.5.2/BR_06</t>
        </is>
      </c>
      <c r="L19" s="23" t="inlineStr">
        <is>
          <t>BR_06</t>
        </is>
      </c>
      <c r="M19" s="23" t="inlineStr">
        <is>
          <t>BR06-COND-INTERSECT</t>
        </is>
      </c>
      <c r="N19" s="23" t="n"/>
      <c r="O19" s="23" t="n"/>
      <c r="P19" s="23" t="n"/>
      <c r="Q19" s="23" t="n"/>
      <c r="R19" s="23" t="n"/>
      <c r="S19" s="23" t="n"/>
      <c r="T19" s="23" t="n"/>
      <c r="U19" s="23" t="n"/>
    </row>
    <row r="20">
      <c r="A20" s="23" t="inlineStr">
        <is>
          <t>PR05-BR07-HAPPY-001</t>
        </is>
      </c>
      <c r="B20" s="23" t="inlineStr">
        <is>
          <t>PR05</t>
        </is>
      </c>
      <c r="C20" s="23" t="inlineStr">
        <is>
          <t>Chương trình ưu đãi - Tải lên DSKH</t>
        </is>
      </c>
      <c r="D20" s="23" t="inlineStr">
        <is>
          <t>Upload file DSKH hợp lệ (cho phép hiệu lực KH vượt hiệu lực CTƯĐ)</t>
        </is>
      </c>
      <c r="E20" s="23" t="inlineStr">
        <is>
          <t>Happy</t>
        </is>
      </c>
      <c r="F20" s="23" t="inlineStr">
        <is>
          <t>Smoke</t>
        </is>
      </c>
      <c r="G20" s="23" t="inlineStr">
        <is>
          <t>P1</t>
        </is>
      </c>
      <c r="H20" s="23" t="inlineStr">
        <is>
          <t>Form Thêm mới; file .xlsx đúng mẫu, KH tồn tại</t>
        </is>
      </c>
      <c r="I20" s="23" t="inlineStr">
        <is>
          <t>1) Chọn 'Tải lên' → chọn file hợp lệ;
2) Nhấn 'Kiểm tra';
3) Quan sát lưới DSKH;
4) 'Xác nhận' CTƯĐ</t>
        </is>
      </c>
      <c r="J20" s="23" t="inlineStr">
        <is>
          <t>(i) Logic: Tải lên thành công; hiệu lực mỗi KH có thể vượt hiệu lực CTƯĐ.
(ii) UI: Lưới hiển thị đầy đủ; trạng thái hợp lệ.
(iii) OT.01: Sinh tác vụ Chờ duyệt.
(iv) Data: Lưu danh sách KH &amp; hiệu lực; audit IMPORT.</t>
        </is>
      </c>
      <c r="K20" s="23" t="inlineStr">
        <is>
          <t>II.5.1.5.2/BR_07</t>
        </is>
      </c>
      <c r="L20" s="23" t="inlineStr">
        <is>
          <t>BR_07</t>
        </is>
      </c>
      <c r="M20" s="23" t="inlineStr">
        <is>
          <t>BR07-UPLOAD-VALID</t>
        </is>
      </c>
      <c r="N20" s="23" t="n"/>
      <c r="O20" s="23" t="n"/>
      <c r="P20" s="23" t="n"/>
      <c r="Q20" s="23" t="n"/>
      <c r="R20" s="23" t="n"/>
      <c r="S20" s="23" t="n"/>
      <c r="T20" s="23" t="n"/>
      <c r="U20" s="23" t="n"/>
    </row>
    <row r="21">
      <c r="A21" s="23" t="inlineStr">
        <is>
          <t>PR05-BR07-NEG-002</t>
        </is>
      </c>
      <c r="B21" s="23" t="inlineStr">
        <is>
          <t>PR05</t>
        </is>
      </c>
      <c r="C21" s="23" t="inlineStr">
        <is>
          <t>Chương trình ưu đãi - Tải lên DSKH</t>
        </is>
      </c>
      <c r="D21" s="23" t="inlineStr">
        <is>
          <t>Upload có KH không thỏa điều kiện áp dụng → báo lỗi theo dòng</t>
        </is>
      </c>
      <c r="E21" s="23" t="inlineStr">
        <is>
          <t>Negative</t>
        </is>
      </c>
      <c r="F21" s="23" t="inlineStr">
        <is>
          <t>Smoke</t>
        </is>
      </c>
      <c r="G21" s="23" t="inlineStr">
        <is>
          <t>P1</t>
        </is>
      </c>
      <c r="H21" s="23" t="inlineStr">
        <is>
          <t>Form Thêm mới; file .xlsx chứa cả dòng hợp lệ &amp; vi phạm</t>
        </is>
      </c>
      <c r="I21" s="23" t="inlineStr">
        <is>
          <t>1) 'Tải lên' file;
2) Nhấn 'Kiểm tra'</t>
        </is>
      </c>
      <c r="J21" s="23" t="inlineStr">
        <is>
          <t>(i) Logic: Kiểm tra điều kiện áp dụng, trả lỗi theo dòng vi phạm.
(ii) UI: Hiển thị cờ/lý do lỗi theo từng dòng.
(iii) OT.01: không áp dụng.
(iv) Data: Chỉ dòng hợp lệ được lưu khi xác nhận.</t>
        </is>
      </c>
      <c r="K21" s="23" t="inlineStr">
        <is>
          <t>II.5.1.5.2/BR_07</t>
        </is>
      </c>
      <c r="L21" s="23" t="inlineStr">
        <is>
          <t>BR_07</t>
        </is>
      </c>
      <c r="M21" s="23" t="inlineStr">
        <is>
          <t>BR07-ROW-ERROR</t>
        </is>
      </c>
      <c r="N21" s="23" t="n"/>
      <c r="O21" s="23" t="n"/>
      <c r="P21" s="23" t="n"/>
      <c r="Q21" s="23" t="n"/>
      <c r="R21" s="23" t="n"/>
      <c r="S21" s="23" t="n"/>
      <c r="T21" s="23" t="n"/>
      <c r="U21" s="23" t="n"/>
    </row>
    <row r="22">
      <c r="A22" s="23" t="inlineStr">
        <is>
          <t>PR05-BR07-NEG-003</t>
        </is>
      </c>
      <c r="B22" s="23" t="inlineStr">
        <is>
          <t>PR05</t>
        </is>
      </c>
      <c r="C22" s="23" t="inlineStr">
        <is>
          <t>Chương trình ưu đãi - Tải lên DSKH</t>
        </is>
      </c>
      <c r="D22" s="23" t="inlineStr">
        <is>
          <t>Upload file định dạng không hỗ trợ → từ chối</t>
        </is>
      </c>
      <c r="E22" s="23" t="inlineStr">
        <is>
          <t>Negative</t>
        </is>
      </c>
      <c r="F22" s="23" t="inlineStr">
        <is>
          <t>Regression</t>
        </is>
      </c>
      <c r="G22" s="23" t="inlineStr">
        <is>
          <t>P2</t>
        </is>
      </c>
      <c r="H22" s="23" t="inlineStr">
        <is>
          <t>Form Thêm mới mở</t>
        </is>
      </c>
      <c r="I22" s="23" t="inlineStr">
        <is>
          <t>1) 'Tải lên' → chọn file .csv/.txt;
2) Nhấn 'Kiểm tra'</t>
        </is>
      </c>
      <c r="J22" s="23" t="inlineStr">
        <is>
          <t>(i) Logic: Chỉ nhận định dạng cho phép.
(ii) UI: Thông báo lỗi định dạng.
(iii) OT.01: không áp dụng.
(iv) Data: Không thêm DSKH.</t>
        </is>
      </c>
      <c r="K22" s="23" t="inlineStr">
        <is>
          <t>II.5.1.5.2/BR_07</t>
        </is>
      </c>
      <c r="L22" s="23" t="inlineStr">
        <is>
          <t>BR_07</t>
        </is>
      </c>
      <c r="M22" s="23" t="inlineStr">
        <is>
          <t>BR07-FMT-BLOCK</t>
        </is>
      </c>
      <c r="N22" s="23" t="n"/>
      <c r="O22" s="23" t="n"/>
      <c r="P22" s="23" t="n"/>
      <c r="Q22" s="23" t="n"/>
      <c r="R22" s="23" t="n"/>
      <c r="S22" s="23" t="n"/>
      <c r="T22" s="23" t="n"/>
      <c r="U22" s="23" t="n"/>
    </row>
    <row r="23">
      <c r="A23" s="23" t="inlineStr">
        <is>
          <t>PR05-BR07-NEG-004</t>
        </is>
      </c>
      <c r="B23" s="23" t="inlineStr">
        <is>
          <t>PR05</t>
        </is>
      </c>
      <c r="C23" s="23" t="inlineStr">
        <is>
          <t>Chương trình ưu đãi - Tải lên DSKH</t>
        </is>
      </c>
      <c r="D23" s="23" t="inlineStr">
        <is>
          <t>Upload file thiếu cột bắt buộc → chặn</t>
        </is>
      </c>
      <c r="E23" s="23" t="inlineStr">
        <is>
          <t>Negative</t>
        </is>
      </c>
      <c r="F23" s="23" t="inlineStr">
        <is>
          <t>Regression</t>
        </is>
      </c>
      <c r="G23" s="23" t="inlineStr">
        <is>
          <t>P2</t>
        </is>
      </c>
      <c r="H23" s="23" t="inlineStr">
        <is>
          <t>Form Thêm mới mở</t>
        </is>
      </c>
      <c r="I23" s="23" t="inlineStr">
        <is>
          <t>1) 'Tải lên' file thiếu cột bắt buộc;
2) 'Kiểm tra'</t>
        </is>
      </c>
      <c r="J23" s="23" t="inlineStr">
        <is>
          <t>(i) Logic: Thiếu cột bắt buộc → từ chối.
(ii) UI: Báo lỗi thiếu cột.
(iii) OT.01: không áp dụng.
(iv) Data: Không thêm dòng.</t>
        </is>
      </c>
      <c r="K23" s="23" t="inlineStr">
        <is>
          <t>II.5.1.5.2/BR_07</t>
        </is>
      </c>
      <c r="L23" s="23" t="inlineStr">
        <is>
          <t>BR_07</t>
        </is>
      </c>
      <c r="M23" s="23" t="inlineStr">
        <is>
          <t>BR07-MISS-COL</t>
        </is>
      </c>
      <c r="N23" s="23" t="n"/>
      <c r="O23" s="23" t="n"/>
      <c r="P23" s="23" t="n"/>
      <c r="Q23" s="23" t="n"/>
      <c r="R23" s="23" t="n"/>
      <c r="S23" s="23" t="n"/>
      <c r="T23" s="23" t="n"/>
      <c r="U23" s="23" t="n"/>
    </row>
    <row r="24">
      <c r="A24" s="23" t="inlineStr">
        <is>
          <t>PR05-BR07-NEG-005</t>
        </is>
      </c>
      <c r="B24" s="23" t="inlineStr">
        <is>
          <t>PR05</t>
        </is>
      </c>
      <c r="C24" s="23" t="inlineStr">
        <is>
          <t>Chương trình ưu đãi - Tải lên DSKH</t>
        </is>
      </c>
      <c r="D24" s="23" t="inlineStr">
        <is>
          <t>Upload có dòng trùng KH trong cùng file → cảnh báo/chặn theo thiết kế</t>
        </is>
      </c>
      <c r="E24" s="23" t="inlineStr">
        <is>
          <t>Negative</t>
        </is>
      </c>
      <c r="F24" s="23" t="inlineStr">
        <is>
          <t>Regression</t>
        </is>
      </c>
      <c r="G24" s="23" t="inlineStr">
        <is>
          <t>P2</t>
        </is>
      </c>
      <c r="H24" s="23" t="inlineStr">
        <is>
          <t>Form Thêm mới mở</t>
        </is>
      </c>
      <c r="I24" s="23" t="inlineStr">
        <is>
          <t>1) 'Tải lên' file có KH K1 xuất hiện 2 lần;
2) 'Kiểm tra'</t>
        </is>
      </c>
      <c r="J24" s="23" t="inlineStr">
        <is>
          <t>(i) Logic: Không chấp nhận trùng KH trong cùng CTƯĐ.
(ii) UI: Đánh dấu/cảnh báo dòng trùng.
(iii) OT.01: không áp dụng.
(iv) Data: Chỉ giữ 1 dòng hoặc buộc sửa theo thiết kế.</t>
        </is>
      </c>
      <c r="K24" s="23" t="inlineStr">
        <is>
          <t>II.5.1.5.2/BR_07</t>
        </is>
      </c>
      <c r="L24" s="23" t="inlineStr">
        <is>
          <t>BR_07</t>
        </is>
      </c>
      <c r="M24" s="23" t="inlineStr">
        <is>
          <t>BR07-DUP-ROW</t>
        </is>
      </c>
      <c r="N24" s="23" t="n"/>
      <c r="O24" s="23" t="n"/>
      <c r="P24" s="23" t="n"/>
      <c r="Q24" s="23" t="n"/>
      <c r="R24" s="23" t="n"/>
      <c r="S24" s="23" t="n"/>
      <c r="T24" s="23" t="n"/>
      <c r="U24" s="23" t="n"/>
    </row>
    <row r="25">
      <c r="A25" s="23" t="inlineStr">
        <is>
          <t>PR05-BR07-BOUND-006</t>
        </is>
      </c>
      <c r="B25" s="23" t="inlineStr">
        <is>
          <t>PR05</t>
        </is>
      </c>
      <c r="C25" s="23" t="inlineStr">
        <is>
          <t>Chương trình ưu đãi - Tải lên DSKH</t>
        </is>
      </c>
      <c r="D25" s="23" t="inlineStr">
        <is>
          <t>Upload ngày hiệu lực sai định dạng → chặn</t>
        </is>
      </c>
      <c r="E25" s="23" t="inlineStr">
        <is>
          <t>Boundary</t>
        </is>
      </c>
      <c r="F25" s="23" t="inlineStr">
        <is>
          <t>Regression</t>
        </is>
      </c>
      <c r="G25" s="23" t="inlineStr">
        <is>
          <t>P2</t>
        </is>
      </c>
      <c r="H25" s="23" t="inlineStr">
        <is>
          <t>Form Thêm mới mở</t>
        </is>
      </c>
      <c r="I25" s="23" t="inlineStr">
        <is>
          <t>1) 'Tải lên' file có cột ngày sai định dạng;
2) 'Kiểm tra'</t>
        </is>
      </c>
      <c r="J25" s="23" t="inlineStr">
        <is>
          <t>(i) Logic: Sai định dạng ngày → từ chối.
(ii) UI: Báo rõ dòng/cột vi phạm.
(iii) OT.01: không áp dụng.
(iv) Data: Không lưu dòng lỗi.</t>
        </is>
      </c>
      <c r="K25" s="23" t="inlineStr">
        <is>
          <t>II.5.1.5.2/BR_07</t>
        </is>
      </c>
      <c r="L25" s="23" t="inlineStr">
        <is>
          <t>BR_07</t>
        </is>
      </c>
      <c r="M25" s="23" t="inlineStr">
        <is>
          <t>BR07-DATE-FMT</t>
        </is>
      </c>
      <c r="N25" s="23" t="n"/>
      <c r="O25" s="23" t="n"/>
      <c r="P25" s="23" t="n"/>
      <c r="Q25" s="23" t="n"/>
      <c r="R25" s="23" t="n"/>
      <c r="S25" s="23" t="n"/>
      <c r="T25" s="23" t="n"/>
      <c r="U25" s="23" t="n"/>
    </row>
    <row r="26">
      <c r="A26" s="23" t="inlineStr">
        <is>
          <t>PR05-BR08-HAPPY-001</t>
        </is>
      </c>
      <c r="B26" s="23" t="inlineStr">
        <is>
          <t>PR05</t>
        </is>
      </c>
      <c r="C26" s="23" t="inlineStr">
        <is>
          <t>Chương trình ưu đãi - Lưu &amp; hiển thị</t>
        </is>
      </c>
      <c r="D26" s="23" t="inlineStr">
        <is>
          <t>CTƯĐ chưa duyệt không hiển thị trên lưới PR.05</t>
        </is>
      </c>
      <c r="E26" s="23" t="inlineStr">
        <is>
          <t>Happy</t>
        </is>
      </c>
      <c r="F26" s="23" t="inlineStr">
        <is>
          <t>Smoke</t>
        </is>
      </c>
      <c r="G26" s="23" t="inlineStr">
        <is>
          <t>P1</t>
        </is>
      </c>
      <c r="H26" s="23" t="inlineStr">
        <is>
          <t>Vừa tạo CTƯĐ thành công; trạng thái Chờ duyệt</t>
        </is>
      </c>
      <c r="I26" s="23" t="inlineStr">
        <is>
          <t>1) Mở lưới PR.05;
2) Tìm theo Tên/Mã CTƯĐ vừa tạo</t>
        </is>
      </c>
      <c r="J26" s="23" t="inlineStr">
        <is>
          <t>(i) Logic: Bản ghi chưa duyệt không được áp dụng/không hiển thị.
(ii) UI: Không thấy bản ghi trên lưới.
(iii) OT.01: Tác vụ xuất hiện ở 'Tác vụ chờ duyệt'.
(iv) Data: Bản ghi ở DB trạng thái Chờ duyệt; audit CREATE.</t>
        </is>
      </c>
      <c r="K26" s="23" t="inlineStr">
        <is>
          <t>II.5.1.5.2/BR_08; II.5.1.5.2/BR_09</t>
        </is>
      </c>
      <c r="L26" s="23" t="inlineStr">
        <is>
          <t>BR_08;BR_09</t>
        </is>
      </c>
      <c r="M26" s="23" t="inlineStr">
        <is>
          <t>BR08-NOT-VISIBLE</t>
        </is>
      </c>
      <c r="N26" s="23" t="n"/>
      <c r="O26" s="23" t="n"/>
      <c r="P26" s="23" t="n"/>
      <c r="Q26" s="23" t="n"/>
      <c r="R26" s="23" t="n"/>
      <c r="S26" s="23" t="n"/>
      <c r="T26" s="23" t="n"/>
      <c r="U26" s="23" t="n"/>
    </row>
    <row r="27">
      <c r="A27" s="23" t="inlineStr">
        <is>
          <t>PR05-BR09-HAPPY-001</t>
        </is>
      </c>
      <c r="B27" s="23" t="inlineStr">
        <is>
          <t>PR05</t>
        </is>
      </c>
      <c r="C27" s="23" t="inlineStr">
        <is>
          <t>Chương trình ưu đãi - Tác vụ chờ duyệt</t>
        </is>
      </c>
      <c r="D27" s="23" t="inlineStr">
        <is>
          <t>Sau khi lưu CTƯĐ → sinh tác vụ 'Chờ duyệt'</t>
        </is>
      </c>
      <c r="E27" s="23" t="inlineStr">
        <is>
          <t>Happy</t>
        </is>
      </c>
      <c r="F27" s="23" t="inlineStr">
        <is>
          <t>Smoke</t>
        </is>
      </c>
      <c r="G27" s="23" t="inlineStr">
        <is>
          <t>P1</t>
        </is>
      </c>
      <c r="H27" s="23" t="inlineStr">
        <is>
          <t>Vừa lưu CTƯĐ mới</t>
        </is>
      </c>
      <c r="I27" s="23" t="inlineStr">
        <is>
          <t>1) Mở màn hình 'Tác vụ chờ duyệt';
2) Tìm tác vụ theo Mã/Tên CTƯĐ</t>
        </is>
      </c>
      <c r="J27" s="23" t="inlineStr">
        <is>
          <t>(i) Logic: Bản ghi phải ở trạng thái 'Chờ duyệt'.
(ii) UI: Dòng tác vụ xuất hiện; hành động Duyệt/Từ chối khả dụng theo vai.
(iii) OT.01: Ghi nhận OT.01 tạo tác vụ.
(iv) Data: Audit tạo tác vụ.</t>
        </is>
      </c>
      <c r="K27" s="23" t="inlineStr">
        <is>
          <t>II.5.1.5.2/BR_09</t>
        </is>
      </c>
      <c r="L27" s="23" t="inlineStr">
        <is>
          <t>BR_09</t>
        </is>
      </c>
      <c r="M27" s="23" t="inlineStr">
        <is>
          <t>BR09-PENDING-TASK</t>
        </is>
      </c>
      <c r="N27" s="23" t="n"/>
      <c r="O27" s="23" t="n"/>
      <c r="P27" s="23" t="n"/>
      <c r="Q27" s="23" t="n"/>
      <c r="R27" s="23" t="n"/>
      <c r="S27" s="23" t="n"/>
      <c r="T27" s="23" t="n"/>
      <c r="U27" s="23" t="n"/>
    </row>
    <row r="28">
      <c r="A28" s="23" t="inlineStr">
        <is>
          <t>PR05-BR10-HAPPY-001</t>
        </is>
      </c>
      <c r="B28" s="23" t="inlineStr">
        <is>
          <t>PR05</t>
        </is>
      </c>
      <c r="C28" s="23" t="inlineStr">
        <is>
          <t>Chương trình ưu đãi - Metadata</t>
        </is>
      </c>
      <c r="D28" s="23" t="inlineStr">
        <is>
          <t>Trường 'Ngày tạo' tự sinh đúng định dạng và thời gian</t>
        </is>
      </c>
      <c r="E28" s="23" t="inlineStr">
        <is>
          <t>Happy</t>
        </is>
      </c>
      <c r="F28" s="23" t="inlineStr">
        <is>
          <t>Regression</t>
        </is>
      </c>
      <c r="G28" s="23" t="inlineStr">
        <is>
          <t>P3</t>
        </is>
      </c>
      <c r="H28" s="23" t="inlineStr">
        <is>
          <t>Có bản ghi vừa tạo</t>
        </is>
      </c>
      <c r="I28" s="23" t="inlineStr">
        <is>
          <t>1) Mở chi tiết bản ghi;
2) Kiểm tra 'Ngày tạo'</t>
        </is>
      </c>
      <c r="J28" s="23" t="inlineStr">
        <is>
          <t>(i) Logic: Ngày tạo do hệ thống sinh theo định dạng chuẩn.
(ii) UI: Hiển thị đúng YYYY-MM-DD HH:MM:SS.
(iii) OT.01: không áp dụng.
(iv) Data: Audit time khớp.</t>
        </is>
      </c>
      <c r="K28" s="23" t="inlineStr">
        <is>
          <t>II.5.1.5.2/BR_10</t>
        </is>
      </c>
      <c r="L28" s="23" t="inlineStr">
        <is>
          <t>BR_10</t>
        </is>
      </c>
      <c r="M28" s="23" t="inlineStr">
        <is>
          <t>BR10-CREATED-AT</t>
        </is>
      </c>
      <c r="N28" s="23" t="n"/>
      <c r="O28" s="23" t="n"/>
      <c r="P28" s="23" t="n"/>
      <c r="Q28" s="23" t="n"/>
      <c r="R28" s="23" t="n"/>
      <c r="S28" s="23" t="n"/>
      <c r="T28" s="23" t="n"/>
      <c r="U28" s="23" t="n"/>
    </row>
    <row r="29">
      <c r="A29" s="23" t="inlineStr">
        <is>
          <t>PR05-BR11-HAPPY-001</t>
        </is>
      </c>
      <c r="B29" s="23" t="inlineStr">
        <is>
          <t>PR05</t>
        </is>
      </c>
      <c r="C29" s="23" t="inlineStr">
        <is>
          <t>Chương trình ưu đãi - Metadata</t>
        </is>
      </c>
      <c r="D29" s="23" t="inlineStr">
        <is>
          <t>Trường 'Người tạo' = username Maker</t>
        </is>
      </c>
      <c r="E29" s="23" t="inlineStr">
        <is>
          <t>Happy</t>
        </is>
      </c>
      <c r="F29" s="23" t="inlineStr">
        <is>
          <t>Regression</t>
        </is>
      </c>
      <c r="G29" s="23" t="inlineStr">
        <is>
          <t>P3</t>
        </is>
      </c>
      <c r="H29" s="23" t="inlineStr">
        <is>
          <t>Có bản ghi vừa tạo bởi Maker</t>
        </is>
      </c>
      <c r="I29" s="23" t="inlineStr">
        <is>
          <t>1) Mở chi tiết bản ghi;
2) Kiểm tra 'Người tạo'</t>
        </is>
      </c>
      <c r="J29" s="23" t="inlineStr">
        <is>
          <t>(i) Logic: Người tạo phản ánh đúng username.
(ii) UI: Hiển thị đúng tên đăng nhập.
(iii) OT.01: không áp dụng.
(iv) Data: Audit CREATE có user tương ứng.</t>
        </is>
      </c>
      <c r="K29" s="23" t="inlineStr">
        <is>
          <t>II.5.1.5.2/BR_11</t>
        </is>
      </c>
      <c r="L29" s="23" t="inlineStr">
        <is>
          <t>BR_11</t>
        </is>
      </c>
      <c r="M29" s="23" t="inlineStr">
        <is>
          <t>BR11-CREATED-BY</t>
        </is>
      </c>
      <c r="N29" s="23" t="n"/>
      <c r="O29" s="23" t="n"/>
      <c r="P29" s="23" t="n"/>
      <c r="Q29" s="23" t="n"/>
      <c r="R29" s="23" t="n"/>
      <c r="S29" s="23" t="n"/>
      <c r="T29" s="23" t="n"/>
      <c r="U29" s="23" t="n"/>
    </row>
    <row r="30">
      <c r="A30" s="23" t="inlineStr">
        <is>
          <t>PR05-FLOW-OT01-HAPPY-001</t>
        </is>
      </c>
      <c r="B30" s="23" t="inlineStr">
        <is>
          <t>PR05</t>
        </is>
      </c>
      <c r="C30" s="23" t="inlineStr">
        <is>
          <t>Chương trình ưu đãi - OT.01 Duyệt</t>
        </is>
      </c>
      <c r="D30" s="23" t="inlineStr">
        <is>
          <t>Checker phê duyệt CTƯĐ → hiển thị trên lưới &amp; sẵn sàng áp dụng</t>
        </is>
      </c>
      <c r="E30" s="23" t="inlineStr">
        <is>
          <t>Happy</t>
        </is>
      </c>
      <c r="F30" s="23" t="inlineStr">
        <is>
          <t>Smoke</t>
        </is>
      </c>
      <c r="G30" s="23" t="inlineStr">
        <is>
          <t>P1</t>
        </is>
      </c>
      <c r="H30" s="23" t="inlineStr">
        <is>
          <t>Có CTƯĐ ở trạng thái 'Chờ duyệt' do Maker tạo</t>
        </is>
      </c>
      <c r="I30" s="23" t="inlineStr">
        <is>
          <t>1) Checker mở 'Tác vụ chờ duyệt';
2) Chọn CTƯĐ;
3) Nhấn 'Duyệt';
4) Quay lại PR.05, làm mới lưới</t>
        </is>
      </c>
      <c r="J30" s="23" t="inlineStr">
        <is>
          <t>(i) Logic: Trạng thái chuyển 'Đã duyệt'; ưu đãi khả dụng.
(ii) UI: Lưới PR.05 hiển thị bản ghi; toast phê duyệt thành công.
(iii) OT.01: Ghi nhận APPROVE (user Checker, timestamp).
(iv) Data: Audit APPROVE; bản ghi khả dụng cho tính phí.</t>
        </is>
      </c>
      <c r="K30" s="23" t="inlineStr">
        <is>
          <t>II.5.1.5.2/BR_09</t>
        </is>
      </c>
      <c r="L30" s="23" t="inlineStr">
        <is>
          <t>BR_09</t>
        </is>
      </c>
      <c r="M30" s="23" t="inlineStr">
        <is>
          <t>FLOW-APPROVE</t>
        </is>
      </c>
      <c r="N30" s="23" t="n"/>
      <c r="O30" s="23" t="n"/>
      <c r="P30" s="23" t="n"/>
      <c r="Q30" s="23" t="n"/>
      <c r="R30" s="23" t="n"/>
      <c r="S30" s="23" t="n"/>
      <c r="T30" s="23" t="n"/>
      <c r="U30" s="23" t="n"/>
    </row>
    <row r="31">
      <c r="A31" s="23" t="inlineStr">
        <is>
          <t>PR05-FLOW-OT01-NEG-002</t>
        </is>
      </c>
      <c r="B31" s="23" t="inlineStr">
        <is>
          <t>PR05</t>
        </is>
      </c>
      <c r="C31" s="23" t="inlineStr">
        <is>
          <t>Chương trình ưu đãi - OT.01 Từ chối</t>
        </is>
      </c>
      <c r="D31" s="23" t="inlineStr">
        <is>
          <t>Checker từ chối CTƯĐ → không hiển thị trên lưới PR.05</t>
        </is>
      </c>
      <c r="E31" s="23" t="inlineStr">
        <is>
          <t>Negative</t>
        </is>
      </c>
      <c r="F31" s="23" t="inlineStr">
        <is>
          <t>Smoke</t>
        </is>
      </c>
      <c r="G31" s="23" t="inlineStr">
        <is>
          <t>P1</t>
        </is>
      </c>
      <c r="H31" s="23" t="inlineStr">
        <is>
          <t>Có CTƯĐ 'Chờ duyệt'</t>
        </is>
      </c>
      <c r="I31" s="23" t="inlineStr">
        <is>
          <t>1) Checker mở 'Tác vụ chờ duyệt';
2) Chọn CTƯĐ → 'Từ chối', nhập lý do;
3) Mở PR.05 tìm bản ghi</t>
        </is>
      </c>
      <c r="J31" s="23" t="inlineStr">
        <is>
          <t>(i) Logic: CTƯĐ bị từ chối → không áp dụng.
(ii) UI: Không thấy trên lưới; lý do từ chối hiển thị tại tác vụ/lịch sử.
(iii) OT.01: Audit REJECT với lý do.
(iv) Data: Trạng thái 'Từ chối' lưu DB.</t>
        </is>
      </c>
      <c r="K31" s="23" t="inlineStr">
        <is>
          <t>II.5.1.5.2/BR_08; II.5.1.5.2/BR_09</t>
        </is>
      </c>
      <c r="L31" s="23" t="inlineStr">
        <is>
          <t>BR_08;BR_09</t>
        </is>
      </c>
      <c r="M31" s="23" t="inlineStr">
        <is>
          <t>FLOW-REJECT</t>
        </is>
      </c>
      <c r="N31" s="23" t="n"/>
      <c r="O31" s="23" t="n"/>
      <c r="P31" s="23" t="n"/>
      <c r="Q31" s="23" t="n"/>
      <c r="R31" s="23" t="n"/>
      <c r="S31" s="23" t="n"/>
      <c r="T31" s="23" t="n"/>
      <c r="U31" s="23" t="n"/>
    </row>
    <row r="32">
      <c r="A32" s="23" t="inlineStr">
        <is>
          <t>PR05-FLOW-OT01-HAPPY-003</t>
        </is>
      </c>
      <c r="B32" s="23" t="inlineStr">
        <is>
          <t>PR05</t>
        </is>
      </c>
      <c r="C32" s="23" t="inlineStr">
        <is>
          <t>Chương trình ưu đãi - OT.01 Sửa hiệu lực</t>
        </is>
      </c>
      <c r="D32" s="23" t="inlineStr">
        <is>
          <t>Sửa ngày hiệu lực CTƯĐ ở bất kỳ trạng thái → cho phép nếu hợp lệ, qua OT.01</t>
        </is>
      </c>
      <c r="E32" s="23" t="inlineStr">
        <is>
          <t>Happy</t>
        </is>
      </c>
      <c r="F32" s="23" t="inlineStr">
        <is>
          <t>Regression</t>
        </is>
      </c>
      <c r="G32" s="23" t="inlineStr">
        <is>
          <t>P2</t>
        </is>
      </c>
      <c r="H32" s="23" t="inlineStr">
        <is>
          <t>Có CTƯĐ trạng thái 'Đã duyệt' với hiệu lực [T1–T2]; Maker có quyền sửa</t>
        </is>
      </c>
      <c r="I32" s="23" t="inlineStr">
        <is>
          <t>1) Maker mở chi tiết CTƯĐ → 'Sửa';
2) Đổi hiệu lực sang [T1'–T2'] hợp lệ;
3) 'Xác nhận' → sinh tác vụ;
4) Checker phê duyệt tác vụ</t>
        </is>
      </c>
      <c r="J32" s="23" t="inlineStr">
        <is>
          <t>(i) Logic: Versioning C: cập nhật in-place; cho phép sửa hiệu lực nếu không vi phạm.
(ii) UI: Hiển thị tác vụ OT.01; sau duyệt, hiệu lực mới hiển thị.
(iii) OT.01: Audit UPDATE + APPROVE.
(iv) Data: Không tạo bản ghi version mới; bản ghi hiện tại được cập nhật.</t>
        </is>
      </c>
      <c r="K32" s="23" t="inlineStr">
        <is>
          <t>II.5.1.5.2</t>
        </is>
      </c>
      <c r="L32" s="23" t="inlineStr">
        <is>
          <t>BR_09</t>
        </is>
      </c>
      <c r="M32" s="23" t="inlineStr">
        <is>
          <t>FLOW-EFF-EDIT-VALID</t>
        </is>
      </c>
      <c r="N32" s="23" t="inlineStr">
        <is>
          <t>Theo bối cảnh dự án: Versioning C, sửa hiệu lực qua OT.01</t>
        </is>
      </c>
      <c r="O32" s="23" t="n"/>
      <c r="P32" s="23" t="n"/>
      <c r="Q32" s="23" t="n"/>
      <c r="R32" s="23" t="n"/>
      <c r="S32" s="23" t="n"/>
      <c r="T32" s="23" t="n"/>
      <c r="U32" s="23" t="n"/>
    </row>
    <row r="33">
      <c r="A33" s="23" t="inlineStr">
        <is>
          <t>PR05-FLOW-OT01-NEG-004</t>
        </is>
      </c>
      <c r="B33" s="23" t="inlineStr">
        <is>
          <t>PR05</t>
        </is>
      </c>
      <c r="C33" s="23" t="inlineStr">
        <is>
          <t>Chương trình ưu đãi - OT.01 Sửa hiệu lực</t>
        </is>
      </c>
      <c r="D33" s="23" t="inlineStr">
        <is>
          <t>Sửa hiệu lực với end &lt; start → chặn và không tạo tác vụ</t>
        </is>
      </c>
      <c r="E33" s="23" t="inlineStr">
        <is>
          <t>Negative</t>
        </is>
      </c>
      <c r="F33" s="23" t="inlineStr">
        <is>
          <t>Regression</t>
        </is>
      </c>
      <c r="G33" s="23" t="inlineStr">
        <is>
          <t>P2</t>
        </is>
      </c>
      <c r="H33" s="23" t="inlineStr">
        <is>
          <t>CTƯĐ trạng thái bất kỳ; Maker mở form Sửa</t>
        </is>
      </c>
      <c r="I33" s="23" t="inlineStr">
        <is>
          <t>1) Nhập ngày kết thúc &lt; ngày bắt đầu;
2) Nhấn 'Xác nhận'</t>
        </is>
      </c>
      <c r="J33" s="23" t="inlineStr">
        <is>
          <t>(i) Logic: Vi phạm logic hiệu lực → chặn.
(ii) UI: Thông báo lỗi rõ ràng.
(iii) OT.01: Không sinh tác vụ khi dữ liệu không hợp lệ.
(iv) Data: Không thay đổi bản ghi.</t>
        </is>
      </c>
      <c r="K33" s="23" t="inlineStr">
        <is>
          <t>II.5.1.5.2</t>
        </is>
      </c>
      <c r="L33" s="23" t="n"/>
      <c r="M33" s="23" t="inlineStr">
        <is>
          <t>FLOW-EFF-EDIT-INVALID</t>
        </is>
      </c>
      <c r="N33" s="23" t="inlineStr">
        <is>
          <t>Theo bối cảnh dự án: rule hiệu lực chung</t>
        </is>
      </c>
      <c r="O33" s="23" t="n"/>
      <c r="P33" s="23" t="n"/>
      <c r="Q33" s="23" t="n"/>
      <c r="R33" s="23" t="n"/>
      <c r="S33" s="23" t="n"/>
      <c r="T33" s="23" t="n"/>
      <c r="U33" s="23" t="n"/>
    </row>
    <row r="34">
      <c r="A34" s="23" t="inlineStr">
        <is>
          <t>PR05-FLOW-OT01-NEG-005</t>
        </is>
      </c>
      <c r="B34" s="23" t="inlineStr">
        <is>
          <t>PR05</t>
        </is>
      </c>
      <c r="C34" s="23" t="inlineStr">
        <is>
          <t>Chương trình ưu đãi - Quyền hạn</t>
        </is>
      </c>
      <c r="D34" s="23" t="inlineStr">
        <is>
          <t>Maker không được phép phê duyệt (nút Duyệt ẩn/disabled)</t>
        </is>
      </c>
      <c r="E34" s="23" t="inlineStr">
        <is>
          <t>Security</t>
        </is>
      </c>
      <c r="F34" s="23" t="inlineStr">
        <is>
          <t>Smoke</t>
        </is>
      </c>
      <c r="G34" s="23" t="inlineStr">
        <is>
          <t>P1</t>
        </is>
      </c>
      <c r="H34" s="23" t="inlineStr">
        <is>
          <t>Maker đăng nhập; Có tác vụ chờ duyệt</t>
        </is>
      </c>
      <c r="I34" s="23" t="inlineStr">
        <is>
          <t>1) Maker mở 'Tác vụ chờ duyệt';
2) Quan sát trạng thái nút 'Duyệt'</t>
        </is>
      </c>
      <c r="J34" s="23" t="inlineStr">
        <is>
          <t>(i) Logic: Maker không có quyền APPROVE.
(ii) UI: Nút Duyệt ẩn/disabled; có thể xem chi tiết.
(iii) OT.01: Không ghi APPROVE bởi Maker.
(iv) Data: Không thay đổi dữ liệu.</t>
        </is>
      </c>
      <c r="K34" s="23" t="inlineStr">
        <is>
          <t>II.5.1.5.2/BR_11</t>
        </is>
      </c>
      <c r="L34" s="23" t="n"/>
      <c r="M34" s="23" t="inlineStr">
        <is>
          <t>FLOW-PERM-MAKER-NOAPP</t>
        </is>
      </c>
      <c r="N34" s="23" t="n"/>
      <c r="O34" s="23" t="n"/>
      <c r="P34" s="23" t="n"/>
      <c r="Q34" s="23" t="n"/>
      <c r="R34" s="23" t="n"/>
      <c r="S34" s="23" t="n"/>
      <c r="T34" s="23" t="n"/>
      <c r="U34" s="23" t="n"/>
    </row>
    <row r="35">
      <c r="A35" s="23" t="inlineStr">
        <is>
          <t>PR05-UI-01-OPEN-001</t>
        </is>
      </c>
      <c r="B35" s="23" t="inlineStr">
        <is>
          <t>PR05</t>
        </is>
      </c>
      <c r="C35" s="23" t="inlineStr">
        <is>
          <t>Chương trình ưu đãi - UI Thêm mới</t>
        </is>
      </c>
      <c r="D35" s="23" t="inlineStr">
        <is>
          <t>Mở form Thêm mới: hiển thị đủ vùng nhập &amp; các nút chức năng</t>
        </is>
      </c>
      <c r="E35" s="23" t="inlineStr">
        <is>
          <t>Happy</t>
        </is>
      </c>
      <c r="F35" s="23" t="inlineStr">
        <is>
          <t>Regression</t>
        </is>
      </c>
      <c r="G35" s="23" t="inlineStr">
        <is>
          <t>P3</t>
        </is>
      </c>
      <c r="H35" s="23" t="inlineStr">
        <is>
          <t>Maker đăng nhập</t>
        </is>
      </c>
      <c r="I35" s="23" t="inlineStr">
        <is>
          <t>1) Mở PR.05;
2) Nhấn 'Thêm mới';
3) Quan sát vùng Thông tin chung, tab Đối tượng áp dụng, tab Phí được ưu đãi, nút 'Thêm mới KH'/'Tải lên'/'Thiết lập lũy tiến'/'Kiểm tra'</t>
        </is>
      </c>
      <c r="J35" s="23" t="inlineStr">
        <is>
          <t>(i) Logic: không áp dụng.
(ii) UI: Các vùng và nút hiển thị đúng/enable theo ngữ cảnh.
(iii) OT.01: không áp dụng.
(iv) Data: không thay đổi.</t>
        </is>
      </c>
      <c r="K35" s="23" t="inlineStr">
        <is>
          <t>II.5.1.5.1</t>
        </is>
      </c>
      <c r="L35" s="23" t="inlineStr">
        <is>
          <t>UI-FUNC.01</t>
        </is>
      </c>
      <c r="M35" s="23" t="inlineStr">
        <is>
          <t>UI-OPEN-ADD</t>
        </is>
      </c>
      <c r="N35" s="23" t="n"/>
      <c r="O35" s="23" t="n"/>
      <c r="P35" s="23" t="n"/>
      <c r="Q35" s="23" t="n"/>
      <c r="R35" s="23" t="n"/>
      <c r="S35" s="23" t="n"/>
      <c r="T35" s="23" t="n"/>
      <c r="U35" s="23" t="n"/>
    </row>
    <row r="36">
      <c r="A36" s="23" t="inlineStr">
        <is>
          <t>PR05-UI-01-CANCEL-002</t>
        </is>
      </c>
      <c r="B36" s="23" t="inlineStr">
        <is>
          <t>PR05</t>
        </is>
      </c>
      <c r="C36" s="23" t="inlineStr">
        <is>
          <t>Chương trình ưu đãi - UI Thêm mới</t>
        </is>
      </c>
      <c r="D36" s="23" t="inlineStr">
        <is>
          <t>Huỷ/Đóng form Thêm mới: điều hướng về lưới, không giữ dữ liệu nháp</t>
        </is>
      </c>
      <c r="E36" s="23" t="inlineStr">
        <is>
          <t>Negative</t>
        </is>
      </c>
      <c r="F36" s="23" t="inlineStr">
        <is>
          <t>Regression</t>
        </is>
      </c>
      <c r="G36" s="23" t="inlineStr">
        <is>
          <t>P3</t>
        </is>
      </c>
      <c r="H36" s="23" t="inlineStr">
        <is>
          <t>Form Thêm mới mở; đã nhập vài trường</t>
        </is>
      </c>
      <c r="I36" s="23" t="inlineStr">
        <is>
          <t>1) Nhấn 'Huỷ' hoặc 'Đóng';
2) Xác nhận nếu có hộp thoại;
3) Quan sát lưới</t>
        </is>
      </c>
      <c r="J36" s="23" t="inlineStr">
        <is>
          <t>(i) Logic: không áp dụng.
(ii) UI: Điều hướng về lưới; form đóng; không còn dữ liệu nháp hiển thị.
(iii) OT.01: không áp dụng.
(iv) Data: Không phát sinh bản ghi.</t>
        </is>
      </c>
      <c r="K36" s="23" t="inlineStr">
        <is>
          <t>II.5.1.5.1</t>
        </is>
      </c>
      <c r="L36" s="23" t="inlineStr">
        <is>
          <t>UI-FUNC.01</t>
        </is>
      </c>
      <c r="M36" s="23" t="inlineStr">
        <is>
          <t>UI-CANCEL-ADD</t>
        </is>
      </c>
      <c r="N36" s="23" t="inlineStr">
        <is>
          <t>Không lặp lại validation thiếu trường (đã cover BR_01)</t>
        </is>
      </c>
      <c r="O36" s="23" t="n"/>
      <c r="P36" s="23" t="n"/>
      <c r="Q36" s="23" t="n"/>
      <c r="R36" s="23" t="n"/>
      <c r="S36" s="23" t="n"/>
      <c r="T36" s="23" t="n"/>
      <c r="U36" s="23" t="n"/>
    </row>
    <row r="37">
      <c r="A37" s="23" t="inlineStr">
        <is>
          <t>PR05-UI-05-CHECK-003</t>
        </is>
      </c>
      <c r="B37" s="23" t="inlineStr">
        <is>
          <t>PR05</t>
        </is>
      </c>
      <c r="C37" s="23" t="inlineStr">
        <is>
          <t>Chương trình ưu đãi - UI Kiểm tra DSKH</t>
        </is>
      </c>
      <c r="D37" s="23" t="inlineStr">
        <is>
          <t>Nút 'Kiểm tra' thực thi validate và hiển thị trạng thái theo dòng (UI hiển thị)</t>
        </is>
      </c>
      <c r="E37" s="23" t="inlineStr">
        <is>
          <t>Happy</t>
        </is>
      </c>
      <c r="F37" s="23" t="inlineStr">
        <is>
          <t>Regression</t>
        </is>
      </c>
      <c r="G37" s="23" t="inlineStr">
        <is>
          <t>P2</t>
        </is>
      </c>
      <c r="H37" s="23" t="inlineStr">
        <is>
          <t>Đã tải lên file có cả dòng hợp lệ/lỗi</t>
        </is>
      </c>
      <c r="I37" s="23" t="inlineStr">
        <is>
          <t>1) Nhấn 'Kiểm tra';
2) Quan sát thông báo tổng quan;
3) Quan sát cờ trạng thái từng dòng</t>
        </is>
      </c>
      <c r="J37" s="23" t="inlineStr">
        <is>
          <t>(i) Logic: không kiểm nội dung chi tiết (đã ở BR_07).
(ii) UI: Hiển thị kết quả kiểm tra tổng và theo từng dòng.
(iii) OT.01: không áp dụng.
(iv) Data: Đánh dấu tạm, chưa lưu đến khi 'Xác nhận'.</t>
        </is>
      </c>
      <c r="K37" s="23" t="inlineStr">
        <is>
          <t>II.5.1.5.1</t>
        </is>
      </c>
      <c r="L37" s="23" t="inlineStr">
        <is>
          <t>UI-FUNC.05</t>
        </is>
      </c>
      <c r="M37" s="23" t="inlineStr">
        <is>
          <t>UI-CHECK-DISPLAY</t>
        </is>
      </c>
      <c r="N37" s="23" t="inlineStr">
        <is>
          <t>UI-only; logic chi tiết đã cover BR_07</t>
        </is>
      </c>
      <c r="O37" s="23" t="n"/>
      <c r="P37" s="23" t="n"/>
      <c r="Q37" s="23" t="n"/>
      <c r="R37" s="23" t="n"/>
      <c r="S37" s="23" t="n"/>
      <c r="T37" s="23" t="n"/>
      <c r="U37" s="23" t="n"/>
    </row>
    <row r="38">
      <c r="A38" s="23" t="inlineStr">
        <is>
          <t>PR05-UI-06-VIEW-004</t>
        </is>
      </c>
      <c r="B38" s="23" t="inlineStr">
        <is>
          <t>PR05</t>
        </is>
      </c>
      <c r="C38" s="23" t="inlineStr">
        <is>
          <t>Chương trình ưu đãi - UI Xem</t>
        </is>
      </c>
      <c r="D38" s="23" t="inlineStr">
        <is>
          <t>Xem chi tiết CTƯĐ ở chế độ read-only</t>
        </is>
      </c>
      <c r="E38" s="23" t="inlineStr">
        <is>
          <t>Happy</t>
        </is>
      </c>
      <c r="F38" s="23" t="inlineStr">
        <is>
          <t>Regression</t>
        </is>
      </c>
      <c r="G38" s="23" t="inlineStr">
        <is>
          <t>P3</t>
        </is>
      </c>
      <c r="H38" s="23" t="inlineStr">
        <is>
          <t>Có bản ghi bất kỳ</t>
        </is>
      </c>
      <c r="I38" s="23" t="inlineStr">
        <is>
          <t>1) Tại lưới PR.05 chọn bản ghi;
2) Nhấn 'Xem'</t>
        </is>
      </c>
      <c r="J38" s="23" t="inlineStr">
        <is>
          <t>(i) Logic: không áp dụng.
(ii) UI: Màn hình chi tiết ở chế độ chỉ xem (khóa chỉnh sửa).
(iii) OT.01: không áp dụng.
(iv) Data: Không thay đổi dữ liệu.</t>
        </is>
      </c>
      <c r="K38" s="23" t="inlineStr">
        <is>
          <t>II.5.1.5.1</t>
        </is>
      </c>
      <c r="L38" s="23" t="inlineStr">
        <is>
          <t>UI-FUNC.06</t>
        </is>
      </c>
      <c r="M38" s="23" t="inlineStr">
        <is>
          <t>UI-VIEW-RO</t>
        </is>
      </c>
      <c r="N38" s="23" t="n"/>
      <c r="O38" s="23" t="n"/>
      <c r="P38" s="23" t="n"/>
      <c r="Q38" s="23" t="n"/>
      <c r="R38" s="23" t="n"/>
      <c r="S38" s="23" t="n"/>
      <c r="T38" s="23" t="n"/>
      <c r="U38" s="23" t="n"/>
    </row>
    <row r="39">
      <c r="A39" s="23" t="inlineStr">
        <is>
          <t>PR05-UI-07-EDIT-005</t>
        </is>
      </c>
      <c r="B39" s="23" t="inlineStr">
        <is>
          <t>PR05</t>
        </is>
      </c>
      <c r="C39" s="23" t="inlineStr">
        <is>
          <t>Chương trình ưu đãi - UI Sửa</t>
        </is>
      </c>
      <c r="D39" s="23" t="inlineStr">
        <is>
          <t>Mở form Sửa từ lưới và điều hướng quay lại không mất thay đổi đã lưu</t>
        </is>
      </c>
      <c r="E39" s="23" t="inlineStr">
        <is>
          <t>Happy</t>
        </is>
      </c>
      <c r="F39" s="23" t="inlineStr">
        <is>
          <t>Regression</t>
        </is>
      </c>
      <c r="G39" s="23" t="inlineStr">
        <is>
          <t>P3</t>
        </is>
      </c>
      <c r="H39" s="23" t="inlineStr">
        <is>
          <t>Có bản ghi Chờ duyệt hoặc Đã duyệt; Maker có quyền sửa</t>
        </is>
      </c>
      <c r="I39" s="23" t="inlineStr">
        <is>
          <t>1) Tại lưới PR.05 → chọn bản ghi → 'Sửa';
2) Thay đổi mô tả nhỏ → 'Xác nhận';
3) Quay lại lưới và mở lại chi tiết kiểm tra</t>
        </is>
      </c>
      <c r="J39" s="23" t="inlineStr">
        <is>
          <t>(i) Logic: không áp dụng.
(ii) UI: Thao tác điều hướng mượt; giá trị đã lưu hiển thị đúng.
(iii) OT.01: Sinh tác vụ nếu sửa thuộc luồng duyệt.
(iv) Data: Audit UPDATE ghi trường thay đổi.</t>
        </is>
      </c>
      <c r="K39" s="23" t="inlineStr">
        <is>
          <t>II.5.1.5.1</t>
        </is>
      </c>
      <c r="L39" s="23" t="inlineStr">
        <is>
          <t>UI-FUNC.07</t>
        </is>
      </c>
      <c r="M39" s="23" t="inlineStr">
        <is>
          <t>UI-EDIT-NAV</t>
        </is>
      </c>
      <c r="N39" s="23" t="n"/>
      <c r="O39" s="23" t="n"/>
      <c r="P39" s="23" t="n"/>
      <c r="Q39" s="23" t="n"/>
      <c r="R39" s="23" t="n"/>
      <c r="S39" s="23" t="n"/>
      <c r="T39" s="23" t="n"/>
      <c r="U39" s="23" t="n"/>
    </row>
    <row r="40">
      <c r="A40" s="23" t="inlineStr">
        <is>
          <t>PR05-UI-08-DEL-006</t>
        </is>
      </c>
      <c r="B40" s="23" t="inlineStr">
        <is>
          <t>PR05</t>
        </is>
      </c>
      <c r="C40" s="23" t="inlineStr">
        <is>
          <t>Chương trình ưu đãi - UI Xóa</t>
        </is>
      </c>
      <c r="D40" s="23" t="inlineStr">
        <is>
          <t>Xóa bản ghi ở trạng thái Chờ duyệt: hiển thị hộp thoại xác nhận và thông báo thành công</t>
        </is>
      </c>
      <c r="E40" s="23" t="inlineStr">
        <is>
          <t>Happy</t>
        </is>
      </c>
      <c r="F40" s="23" t="inlineStr">
        <is>
          <t>Regression</t>
        </is>
      </c>
      <c r="G40" s="23" t="inlineStr">
        <is>
          <t>P2</t>
        </is>
      </c>
      <c r="H40" s="23" t="inlineStr">
        <is>
          <t>Có bản ghi Chờ duyệt</t>
        </is>
      </c>
      <c r="I40" s="23" t="inlineStr">
        <is>
          <t>1) Tại lưới chọn bản ghi → 'Xóa';
2) Xác nhận xóa trên popup</t>
        </is>
      </c>
      <c r="J40" s="23" t="inlineStr">
        <is>
          <t>(i) Logic: không kiểm logic quyền/trạng thái (đã ở Flow).
(ii) UI: Hộp thoại xác nhận và toast thành công.
(iii) OT.01: không áp dụng.
(iv) Data: Bản ghi biến mất khỏi lưới sau refresh.</t>
        </is>
      </c>
      <c r="K40" s="23" t="inlineStr">
        <is>
          <t>II.5.1.5.1</t>
        </is>
      </c>
      <c r="L40" s="23" t="inlineStr">
        <is>
          <t>UI-FUNC.08</t>
        </is>
      </c>
      <c r="M40" s="23" t="inlineStr">
        <is>
          <t>UI-DELETE-CONFIRM</t>
        </is>
      </c>
      <c r="N40" s="23" t="inlineStr">
        <is>
          <t>Logic cho phép/không cho phép xóa đã cover ở Flow</t>
        </is>
      </c>
      <c r="O40" s="23" t="n"/>
      <c r="P40" s="23" t="n"/>
      <c r="Q40" s="23" t="n"/>
      <c r="R40" s="23" t="n"/>
      <c r="S40" s="23" t="n"/>
      <c r="T40" s="23" t="n"/>
      <c r="U40" s="23" t="n"/>
    </row>
    <row r="41">
      <c r="A41" s="23" t="inlineStr">
        <is>
          <t>PR05-UI-09-SEARCH-007</t>
        </is>
      </c>
      <c r="B41" s="23" t="inlineStr">
        <is>
          <t>PR05</t>
        </is>
      </c>
      <c r="C41" s="23" t="inlineStr">
        <is>
          <t>Chương trình ưu đãi - UI Tìm kiếm</t>
        </is>
      </c>
      <c r="D41" s="23" t="inlineStr">
        <is>
          <t>Tìm kiếm theo Tên/Mã/Trạng thái và 'Xóa lọc' khôi phục lưới</t>
        </is>
      </c>
      <c r="E41" s="23" t="inlineStr">
        <is>
          <t>Happy</t>
        </is>
      </c>
      <c r="F41" s="23" t="inlineStr">
        <is>
          <t>Regression</t>
        </is>
      </c>
      <c r="G41" s="23" t="inlineStr">
        <is>
          <t>P2</t>
        </is>
      </c>
      <c r="H41" s="23" t="inlineStr">
        <is>
          <t>Có dữ liệu trong lưới</t>
        </is>
      </c>
      <c r="I41" s="23" t="inlineStr">
        <is>
          <t>1) Nhập từ khóa theo Tên → Tìm;
2) Đổi sang Mã → Tìm;
3) Lọc theo Trạng thái;
4) Nhấn 'Xóa lọc'</t>
        </is>
      </c>
      <c r="J41" s="23" t="inlineStr">
        <is>
          <t>(i) Logic: không áp dụng.
(ii) UI: Bộ lọc hoạt động đúng; Xóa lọc khôi phục lưới.
(iii) OT.01: không áp dụng.
(iv) Data: Không thay đổi dữ liệu.</t>
        </is>
      </c>
      <c r="K41" s="23" t="inlineStr">
        <is>
          <t>II.5.1.5.1</t>
        </is>
      </c>
      <c r="L41" s="23" t="inlineStr">
        <is>
          <t>UI-FUNC.09</t>
        </is>
      </c>
      <c r="M41" s="23" t="inlineStr">
        <is>
          <t>UI-SEARCH-BASIC</t>
        </is>
      </c>
      <c r="N41" s="23" t="n"/>
      <c r="O41" s="23" t="n"/>
      <c r="P41" s="23" t="n"/>
      <c r="Q41" s="23" t="n"/>
      <c r="R41" s="23" t="n"/>
      <c r="S41" s="23" t="n"/>
      <c r="T41" s="23" t="n"/>
      <c r="U41" s="23" t="n"/>
    </row>
    <row r="42">
      <c r="A42" s="23" t="inlineStr">
        <is>
          <t>PR05-UI-09-PAGE-008</t>
        </is>
      </c>
      <c r="B42" s="23" t="inlineStr">
        <is>
          <t>PR05</t>
        </is>
      </c>
      <c r="C42" s="23" t="inlineStr">
        <is>
          <t>Chương trình ưu đãi - UI Lưới</t>
        </is>
      </c>
      <c r="D42" s="23" t="inlineStr">
        <is>
          <t>Phân trang: Page size 10→20→50; Next/Prev enable/disable hợp lệ</t>
        </is>
      </c>
      <c r="E42" s="23" t="inlineStr">
        <is>
          <t>Happy</t>
        </is>
      </c>
      <c r="F42" s="23" t="inlineStr">
        <is>
          <t>Regression</t>
        </is>
      </c>
      <c r="G42" s="23" t="inlineStr">
        <is>
          <t>P3</t>
        </is>
      </c>
      <c r="H42" s="23" t="inlineStr">
        <is>
          <t>Có ≥100 bản ghi để phân trang</t>
        </is>
      </c>
      <c r="I42" s="23" t="inlineStr">
        <is>
          <t>1) Đổi page size 10→20→50;
2) Nhấn Next/Prev;
3) Quan sát enable/disable</t>
        </is>
      </c>
      <c r="J42" s="23" t="inlineStr">
        <is>
          <t>(i) Logic: không áp dụng.
(ii) UI: Phân trang đúng tổng; nút enable/disable hợp lệ.
(iii) OT.01: không áp dụng.
(iv) Data: Không đổi dữ liệu.</t>
        </is>
      </c>
      <c r="K42" s="23" t="inlineStr">
        <is>
          <t>II.5.1.5.1</t>
        </is>
      </c>
      <c r="L42" s="23" t="inlineStr">
        <is>
          <t>UI-FUNC.09</t>
        </is>
      </c>
      <c r="M42" s="23" t="inlineStr">
        <is>
          <t>UI-PAGINATION</t>
        </is>
      </c>
      <c r="N42" s="23" t="n"/>
      <c r="O42" s="23" t="n"/>
      <c r="P42" s="23" t="n"/>
      <c r="Q42" s="23" t="n"/>
      <c r="R42" s="23" t="n"/>
      <c r="S42" s="23" t="n"/>
      <c r="T42" s="23" t="n"/>
      <c r="U42" s="23" t="n"/>
    </row>
    <row r="43">
      <c r="A43" s="23" t="inlineStr">
        <is>
          <t>PR05-UI-10-EXPORT-009</t>
        </is>
      </c>
      <c r="B43" s="23" t="inlineStr">
        <is>
          <t>PR05</t>
        </is>
      </c>
      <c r="C43" s="23" t="inlineStr">
        <is>
          <t>Chương trình ưu đãi - UI Tải xuống</t>
        </is>
      </c>
      <c r="D43" s="23" t="inlineStr">
        <is>
          <t>Export dữ liệu lưới (toàn bộ/đang lọc) ra .xlsx</t>
        </is>
      </c>
      <c r="E43" s="23" t="inlineStr">
        <is>
          <t>Happy</t>
        </is>
      </c>
      <c r="F43" s="23" t="inlineStr">
        <is>
          <t>Regression</t>
        </is>
      </c>
      <c r="G43" s="23" t="inlineStr">
        <is>
          <t>P2</t>
        </is>
      </c>
      <c r="H43" s="23" t="inlineStr">
        <is>
          <t>Có dữ liệu và đang áp dụng 1 bộ lọc</t>
        </is>
      </c>
      <c r="I43" s="23" t="inlineStr">
        <is>
          <t>1) Nhấn 'Tải xuống' → chọn .xlsx;
2) Lưu và mở file;
3) Xóa lọc và export lại</t>
        </is>
      </c>
      <c r="J43" s="23" t="inlineStr">
        <is>
          <t>(i) Logic: không áp dụng.
(ii) UI: Hộp thoại export hoạt động; file được tạo.
(iii) OT.01: không áp dụng.
(iv) File: Lần 1 chỉ dữ liệu theo bộ lọc; lần 2 toàn bộ.</t>
        </is>
      </c>
      <c r="K43" s="23" t="inlineStr">
        <is>
          <t>II.5.1.5.1</t>
        </is>
      </c>
      <c r="L43" s="23" t="inlineStr">
        <is>
          <t>UI-FUNC.10</t>
        </is>
      </c>
      <c r="M43" s="23" t="inlineStr">
        <is>
          <t>UI-EXPORT-FILTER-ALL</t>
        </is>
      </c>
      <c r="N43" s="23" t="n"/>
      <c r="O43" s="23" t="n"/>
      <c r="P43" s="23" t="n"/>
      <c r="Q43" s="23" t="n"/>
      <c r="R43" s="23" t="n"/>
      <c r="S43" s="23" t="n"/>
      <c r="T43" s="23" t="n"/>
      <c r="U43" s="23" t="n"/>
    </row>
    <row r="44">
      <c r="A44" s="23" t="inlineStr">
        <is>
          <t>PR05-HAP-MULTI-SCHED-01</t>
        </is>
      </c>
      <c r="B44" s="23" t="inlineStr">
        <is>
          <t>PR05</t>
        </is>
      </c>
      <c r="C44" s="23" t="inlineStr">
        <is>
          <t>Thiết lập CTƯĐ</t>
        </is>
      </c>
      <c r="D44" s="23" t="inlineStr">
        <is>
          <t>[v0.9-NEW] Thiết lập 1 CTƯĐ áp dụng cho NHIỀU Biểu phí</t>
        </is>
      </c>
      <c r="E44" s="23" t="inlineStr">
        <is>
          <t>Happy</t>
        </is>
      </c>
      <c r="F44" s="23" t="inlineStr">
        <is>
          <t>Smoke</t>
        </is>
      </c>
      <c r="G44" s="23" t="inlineStr">
        <is>
          <t>P1</t>
        </is>
      </c>
      <c r="H44" s="23" t="inlineStr">
        <is>
          <t>Tồn tại ít nhất 3 Biểu phí đang có hiệu lực.</t>
        </is>
      </c>
      <c r="I44" s="23" t="inlineStr">
        <is>
          <t>1. Mở màn hình Thêm mới CTƯĐ.
2. Tại vùng 'Biểu phí áp dụng', thực hiện chọn 3 Biểu phí khác nhau.
3. Nhập các thông tin còn lại &amp; Xác nhận.</t>
        </is>
      </c>
      <c r="J44" s="23" t="inlineStr">
        <is>
          <t>(i) Logic: Hệ thống cho phép chọn đa biểu phí (multi-select).
(ii) UI: Lưới liệt kê chi tiết code phí của cả 3 biểu phí vừa chọn.
(iii) Metadata: Lưu thành công quan hệ 1-n giữa CTƯĐ và Biểu phí.</t>
        </is>
      </c>
      <c r="K44" s="23" t="inlineStr">
        <is>
          <t>URD II.5.1.5</t>
        </is>
      </c>
      <c r="L44" s="23" t="inlineStr">
        <is>
          <t>BR_01</t>
        </is>
      </c>
      <c r="M44" s="23" t="inlineStr">
        <is>
          <t>MULTI-SCHED-01</t>
        </is>
      </c>
      <c r="N44" s="23" t="inlineStr">
        <is>
          <t>[v0.9-NEW] Chế độ 1 CTƯĐ - n Biểu phí</t>
        </is>
      </c>
      <c r="O44" s="23" t="n"/>
      <c r="P44" s="23" t="n"/>
      <c r="Q44" s="23" t="n"/>
      <c r="R44" s="23" t="n"/>
      <c r="S44" s="23" t="n"/>
      <c r="T44" s="23" t="n"/>
      <c r="U44" s="23" t="n"/>
    </row>
    <row r="45">
      <c r="A45" s="23" t="inlineStr">
        <is>
          <t>PR05-INT-PRICING-API-01</t>
        </is>
      </c>
      <c r="B45" s="23" t="inlineStr">
        <is>
          <t>PR05</t>
        </is>
      </c>
      <c r="C45" s="23" t="inlineStr">
        <is>
          <t>Tích hợp API Pricing</t>
        </is>
      </c>
      <c r="D45" s="23" t="inlineStr">
        <is>
          <t>[v0.9-NEW] API tạo CTƯĐ từ Pricing gửi đến ProfiX → Tạo bản ghi tự động</t>
        </is>
      </c>
      <c r="E45" s="23" t="inlineStr">
        <is>
          <t>Integration</t>
        </is>
      </c>
      <c r="F45" s="23" t="inlineStr">
        <is>
          <t>Smoke</t>
        </is>
      </c>
      <c r="G45" s="23" t="inlineStr">
        <is>
          <t>P1</t>
        </is>
      </c>
      <c r="H45" s="23" t="inlineStr">
        <is>
          <t>API GetPromotionCreate kết nối thông giữa Pricing &amp; ProfiX.</t>
        </is>
      </c>
      <c r="I45" s="23" t="inlineStr">
        <is>
          <t>1. Thực hiện phê duyệt ngoại lệ trên Pricing.
2. Pricing trigger API gửi thông tin sang ProfiX.
3. Kiểm tra lưới Danh mục CTƯĐ tại ProfiX.</t>
        </is>
      </c>
      <c r="J45" s="23" t="inlineStr">
        <is>
          <t>(i) Logic: ProfiX nhận dữ liệu, tự động tạo CTƯĐ mà không cần Maker thao tác tay.
(ii) Trạng thái: CTƯĐ được tạo ở trạng thái 'Đã phê duyệt' (hoặc theo thiết kế API) và sẵn sàng áp dụng.
(iii) Data: Thông tin chi tiết code phí/miễn giảm khớp với nội dung từ Pricing.</t>
        </is>
      </c>
      <c r="K45" s="23" t="inlineStr">
        <is>
          <t>URD II.4.2.2 / II.6.6</t>
        </is>
      </c>
      <c r="L45" s="23" t="inlineStr">
        <is>
          <t>API_14</t>
        </is>
      </c>
      <c r="M45" s="23" t="inlineStr">
        <is>
          <t>PRICING-API-01</t>
        </is>
      </c>
      <c r="N45" s="23" t="inlineStr">
        <is>
          <t>[v0.9-NEW] Tự động hóa tạo CTƯĐ từ Pricing</t>
        </is>
      </c>
      <c r="O45" s="23" t="n"/>
      <c r="P45" s="23" t="n"/>
      <c r="Q45" s="23" t="n"/>
      <c r="R45" s="23" t="n"/>
      <c r="S45" s="23" t="n"/>
      <c r="T45" s="23" t="n"/>
      <c r="U45" s="23"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cols>
    <col width="14" customWidth="1" style="17" min="1" max="1"/>
    <col width="8" customWidth="1" style="17" min="2" max="2"/>
    <col width="22" customWidth="1" style="17" min="3" max="3"/>
    <col width="38" customWidth="1" style="17" min="4" max="4"/>
    <col width="12" customWidth="1" style="17" min="5" max="5"/>
    <col width="12" customWidth="1" style="17" min="6" max="6"/>
    <col width="9" customWidth="1" style="17" min="7" max="7"/>
    <col width="32" customWidth="1" style="17" min="8" max="8"/>
    <col width="42" customWidth="1" style="17" min="9" max="9"/>
    <col width="52" customWidth="1" style="17" min="10" max="10"/>
    <col width="22" customWidth="1" style="17" min="11" max="11"/>
    <col width="14" customWidth="1" style="17" min="12" max="12"/>
    <col width="14" customWidth="1" style="17" min="13" max="13"/>
    <col width="22" customWidth="1" style="17" min="14" max="14"/>
    <col width="12" customWidth="1" style="17" min="15" max="15"/>
    <col width="12" customWidth="1" style="17" min="16" max="16"/>
    <col width="12" customWidth="1" style="17" min="17" max="17"/>
    <col width="12" customWidth="1" style="17" min="18" max="18"/>
    <col width="12" customWidth="1" style="17" min="19" max="19"/>
    <col width="12" customWidth="1" style="17" min="20" max="20"/>
    <col width="12" customWidth="1" style="17" min="21" max="21"/>
  </cols>
  <sheetData>
    <row r="1">
      <c r="A1" s="24" t="inlineStr">
        <is>
          <t>TEST CASES — II.5.4.5 SA.05- Ma trận phê duyệt</t>
        </is>
      </c>
      <c r="B1" s="24" t="n"/>
      <c r="C1" s="24" t="n"/>
      <c r="D1" s="24" t="n"/>
      <c r="E1" s="24" t="n"/>
      <c r="F1" s="24" t="n"/>
      <c r="G1" s="24" t="n"/>
      <c r="H1" s="24" t="n"/>
      <c r="I1" s="24" t="n"/>
      <c r="J1" s="24" t="n"/>
      <c r="K1" s="24" t="n"/>
      <c r="L1" s="24" t="n"/>
      <c r="M1" s="24" t="n"/>
      <c r="N1" s="24" t="n"/>
      <c r="O1" s="24" t="n"/>
      <c r="P1" s="24" t="n"/>
      <c r="Q1" s="24" t="n"/>
      <c r="R1" s="24" t="n"/>
      <c r="S1" s="24" t="n"/>
      <c r="T1" s="24" t="n"/>
      <c r="U1" s="24" t="n"/>
    </row>
    <row r="2">
      <c r="A2" s="25" t="inlineStr">
        <is>
          <t>TC_ID</t>
        </is>
      </c>
      <c r="B2" s="25" t="inlineStr">
        <is>
          <t>Module</t>
        </is>
      </c>
      <c r="C2" s="25" t="inlineStr">
        <is>
          <t>Feature</t>
        </is>
      </c>
      <c r="D2" s="25" t="inlineStr">
        <is>
          <t>Title</t>
        </is>
      </c>
      <c r="E2" s="25" t="inlineStr">
        <is>
          <t>Type</t>
        </is>
      </c>
      <c r="F2" s="25" t="inlineStr">
        <is>
          <t>Category</t>
        </is>
      </c>
      <c r="G2" s="25" t="inlineStr">
        <is>
          <t>Priority</t>
        </is>
      </c>
      <c r="H2" s="25" t="inlineStr">
        <is>
          <t>Precondition</t>
        </is>
      </c>
      <c r="I2" s="25" t="inlineStr">
        <is>
          <t>Steps</t>
        </is>
      </c>
      <c r="J2" s="25" t="inlineStr">
        <is>
          <t>Expected</t>
        </is>
      </c>
      <c r="K2" s="25" t="inlineStr">
        <is>
          <t>URD_Ref</t>
        </is>
      </c>
      <c r="L2" s="25" t="inlineStr">
        <is>
          <t>BR_Ref</t>
        </is>
      </c>
      <c r="M2" s="25" t="inlineStr">
        <is>
          <t>Trace_ID</t>
        </is>
      </c>
      <c r="N2" s="25" t="inlineStr">
        <is>
          <t>Note</t>
        </is>
      </c>
      <c r="O2" s="25" t="inlineStr">
        <is>
          <t>Status R1</t>
        </is>
      </c>
      <c r="P2" s="25" t="inlineStr">
        <is>
          <t>Tester R1</t>
        </is>
      </c>
      <c r="Q2" s="25" t="inlineStr">
        <is>
          <t>Date R1</t>
        </is>
      </c>
      <c r="R2" s="25" t="inlineStr">
        <is>
          <t>Status R2</t>
        </is>
      </c>
      <c r="S2" s="25" t="inlineStr">
        <is>
          <t>Tester R2</t>
        </is>
      </c>
      <c r="T2" s="25" t="inlineStr">
        <is>
          <t>Date R2</t>
        </is>
      </c>
      <c r="U2" s="25" t="inlineStr">
        <is>
          <t>Final Status</t>
        </is>
      </c>
    </row>
    <row r="3">
      <c r="A3" s="23" t="inlineStr">
        <is>
          <t>SA05-FLOW-001</t>
        </is>
      </c>
      <c r="B3" s="23" t="inlineStr">
        <is>
          <t>SA05</t>
        </is>
      </c>
      <c r="C3" s="23" t="inlineStr">
        <is>
          <t>Ma trận phê duyệt</t>
        </is>
      </c>
      <c r="D3" s="23" t="inlineStr">
        <is>
          <t>Xem danh sách Ma trận phê duyệt – Giao diện tải đúng dữ liệu</t>
        </is>
      </c>
      <c r="E3" s="23" t="inlineStr">
        <is>
          <t>Happy</t>
        </is>
      </c>
      <c r="F3" s="23" t="inlineStr">
        <is>
          <t>Smoke</t>
        </is>
      </c>
      <c r="G3" s="23" t="inlineStr">
        <is>
          <t>P1</t>
        </is>
      </c>
      <c r="H3" s="23" t="inlineStr">
        <is>
          <t>Người dùng đã đăng nhập, có quyền xem SA.05.</t>
        </is>
      </c>
      <c r="I3" s="23" t="inlineStr">
        <is>
          <t>1. Truy cập menu SA.05 – Ma trận phê duyệt.
2. Quan sát lưới danh sách.</t>
        </is>
      </c>
      <c r="J3" s="23" t="inlineStr">
        <is>
          <t>(i) Logic: Hiển thị đúng danh sách các chức năng cần duyệt: SPDV, Công thức, Biểu phí, CTƯĐ.
(ii) UI: Mỗi dòng hiển thị đủ thông tin cấu hình số cấp duyệt và nhóm người dùng.</t>
        </is>
      </c>
      <c r="K3" s="23" t="inlineStr">
        <is>
          <t>II.5.4.5 SA.05</t>
        </is>
      </c>
      <c r="L3" s="23" t="n"/>
      <c r="M3" s="23" t="inlineStr">
        <is>
          <t>SA05-FLOW-001</t>
        </is>
      </c>
      <c r="N3" s="23" t="inlineStr">
        <is>
          <t>[v0.9-NEW] Module hoàn toàn mới</t>
        </is>
      </c>
      <c r="O3" s="23" t="n"/>
      <c r="P3" s="23" t="n"/>
      <c r="Q3" s="23" t="n"/>
      <c r="R3" s="23" t="n"/>
      <c r="S3" s="23" t="n"/>
      <c r="T3" s="23" t="n"/>
      <c r="U3" s="23" t="n"/>
    </row>
    <row r="4">
      <c r="A4" s="23" t="inlineStr">
        <is>
          <t>SA05-FLOW-002</t>
        </is>
      </c>
      <c r="B4" s="23" t="inlineStr">
        <is>
          <t>SA05</t>
        </is>
      </c>
      <c r="C4" s="23" t="inlineStr">
        <is>
          <t>Ma trận phê duyệt</t>
        </is>
      </c>
      <c r="D4" s="23" t="inlineStr">
        <is>
          <t>Sửa Ma trận phê duyệt – Thêm thành công 1 cấp duyệt + người duyệt</t>
        </is>
      </c>
      <c r="E4" s="23" t="inlineStr">
        <is>
          <t>Happy</t>
        </is>
      </c>
      <c r="F4" s="23" t="inlineStr">
        <is>
          <t>Smoke</t>
        </is>
      </c>
      <c r="G4" s="23" t="inlineStr">
        <is>
          <t>P1</t>
        </is>
      </c>
      <c r="H4" s="23" t="inlineStr">
        <is>
          <t>Người dùng có quyền Sửa SA.05. Đang có sẵn nhóm người dùng để chọn.</t>
        </is>
      </c>
      <c r="I4" s="23" t="inlineStr">
        <is>
          <t>1. Nhấn nút 'Sửa' trên 1 bản ghi Ma trận.
2. Nhấn '+' để thêm 1 cấp duyệt mới.
3. Tại cấp mới, nhấn 'Thêm người dùng' và chọn ≥1 người.
4. Nhấn 'Xác nhận'.</t>
        </is>
      </c>
      <c r="J4" s="23" t="inlineStr">
        <is>
          <t>(i) Logic: Lưu thành công ma trận phê duyệt mới.
(ii) UI: Hiển thị thông báo 'Sửa thành công ma trận phê duyệt'.
(iii) Số cấp duyệt tăng đúng theo thứ tự tăng dần.</t>
        </is>
      </c>
      <c r="K4" s="23" t="inlineStr">
        <is>
          <t>II.5.4.5 – BR_01, BR_03</t>
        </is>
      </c>
      <c r="L4" s="23" t="inlineStr">
        <is>
          <t>BR_01;BR_03</t>
        </is>
      </c>
      <c r="M4" s="23" t="inlineStr">
        <is>
          <t>SA05-FLOW-002</t>
        </is>
      </c>
      <c r="N4" s="23" t="inlineStr">
        <is>
          <t>[v0.9-NEW]</t>
        </is>
      </c>
      <c r="O4" s="23" t="n"/>
      <c r="P4" s="23" t="n"/>
      <c r="Q4" s="23" t="n"/>
      <c r="R4" s="23" t="n"/>
      <c r="S4" s="23" t="n"/>
      <c r="T4" s="23" t="n"/>
      <c r="U4" s="23" t="n"/>
    </row>
    <row r="5">
      <c r="A5" s="23" t="inlineStr">
        <is>
          <t>SA05-FLOW-003</t>
        </is>
      </c>
      <c r="B5" s="23" t="inlineStr">
        <is>
          <t>SA05</t>
        </is>
      </c>
      <c r="C5" s="23" t="inlineStr">
        <is>
          <t>Ma trận phê duyệt</t>
        </is>
      </c>
      <c r="D5" s="23" t="inlineStr">
        <is>
          <t>Sửa Ma trận phê duyệt – Bớt 1 cấp duyệt bằng nút '-'</t>
        </is>
      </c>
      <c r="E5" s="23" t="inlineStr">
        <is>
          <t>Happy</t>
        </is>
      </c>
      <c r="F5" s="23" t="inlineStr">
        <is>
          <t>Regression</t>
        </is>
      </c>
      <c r="G5" s="23" t="inlineStr">
        <is>
          <t>P2</t>
        </is>
      </c>
      <c r="H5" s="23" t="inlineStr">
        <is>
          <t>Ma trận hiện có ≥2 cấp duyệt.</t>
        </is>
      </c>
      <c r="I5" s="23" t="inlineStr">
        <is>
          <t>1. Nhấn 'Sửa'.
2. Nhấn '-' trên cấp duyệt muốn xóa.
3. Nhấn 'Xác nhận'.</t>
        </is>
      </c>
      <c r="J5" s="23" t="inlineStr">
        <is>
          <t>(i) Logic: Cấp duyệt bị xóa, hệ thống tự động sắp xếp lại số thứ tự các cấp còn lại theo thứ tự tăng dần.
(ii) UI: Lưới hiển thị đúng số cấp sau khi bớt.</t>
        </is>
      </c>
      <c r="K5" s="23" t="inlineStr">
        <is>
          <t>II.5.4.5 – BR_03</t>
        </is>
      </c>
      <c r="L5" s="23" t="inlineStr">
        <is>
          <t>BR_03</t>
        </is>
      </c>
      <c r="M5" s="23" t="inlineStr">
        <is>
          <t>SA05-FLOW-003</t>
        </is>
      </c>
      <c r="N5" s="23" t="inlineStr">
        <is>
          <t>[v0.9-NEW]</t>
        </is>
      </c>
      <c r="O5" s="23" t="n"/>
      <c r="P5" s="23" t="n"/>
      <c r="Q5" s="23" t="n"/>
      <c r="R5" s="23" t="n"/>
      <c r="S5" s="23" t="n"/>
      <c r="T5" s="23" t="n"/>
      <c r="U5" s="23" t="n"/>
    </row>
    <row r="6">
      <c r="A6" s="23" t="inlineStr">
        <is>
          <t>SA05-BR01-NEG-001</t>
        </is>
      </c>
      <c r="B6" s="23" t="inlineStr">
        <is>
          <t>SA05</t>
        </is>
      </c>
      <c r="C6" s="23" t="inlineStr">
        <is>
          <t>Ma trận phê duyệt</t>
        </is>
      </c>
      <c r="D6" s="23" t="inlineStr">
        <is>
          <t>[NEG] Lưu Ma trận khi 1 cấp duyệt không có người dùng → Chặn lỗi</t>
        </is>
      </c>
      <c r="E6" s="23" t="inlineStr">
        <is>
          <t>Negative</t>
        </is>
      </c>
      <c r="F6" s="23" t="inlineStr">
        <is>
          <t>Smoke</t>
        </is>
      </c>
      <c r="G6" s="23" t="inlineStr">
        <is>
          <t>P1</t>
        </is>
      </c>
      <c r="H6" s="23" t="inlineStr">
        <is>
          <t>Đang trong màn hình Sửa Ma trận phê duyệt. Đã thêm 1 cấp duyệt mới nhưng chưa chọn người dùng.</t>
        </is>
      </c>
      <c r="I6" s="23" t="inlineStr">
        <is>
          <t>1. Thêm 1 cấp duyệt mới.
2. Bỏ qua bước chọn người dùng.
3. Nhấn 'Xác nhận'.</t>
        </is>
      </c>
      <c r="J6" s="23" t="inlineStr">
        <is>
          <t>(i) Logic: Hệ thống chặn lưu, hiển thị thông báo 'Chọn ít nhất 1 người dùng thực hiện'.
(ii) UI: Trường 'Nhóm người dùng thực hiện' highlight báo lỗi.
(iii) Không lưu bất kỳ thay đổi nào.</t>
        </is>
      </c>
      <c r="K6" s="23" t="inlineStr">
        <is>
          <t>II.5.4.5 – BR_01, BR_02</t>
        </is>
      </c>
      <c r="L6" s="23" t="inlineStr">
        <is>
          <t>BR_01;BR_02</t>
        </is>
      </c>
      <c r="M6" s="23" t="inlineStr">
        <is>
          <t>SA05-BR01-NEG-001</t>
        </is>
      </c>
      <c r="N6" s="23" t="inlineStr">
        <is>
          <t>[v0.9-NEW]</t>
        </is>
      </c>
      <c r="O6" s="23" t="n"/>
      <c r="P6" s="23" t="n"/>
      <c r="Q6" s="23" t="n"/>
      <c r="R6" s="23" t="n"/>
      <c r="S6" s="23" t="n"/>
      <c r="T6" s="23" t="n"/>
      <c r="U6" s="23" t="n"/>
    </row>
    <row r="7">
      <c r="A7" s="23" t="inlineStr">
        <is>
          <t>SA05-BR02-NEG-001</t>
        </is>
      </c>
      <c r="B7" s="23" t="inlineStr">
        <is>
          <t>SA05</t>
        </is>
      </c>
      <c r="C7" s="23" t="inlineStr">
        <is>
          <t>Ma trận phê duyệt</t>
        </is>
      </c>
      <c r="D7" s="23" t="inlineStr">
        <is>
          <t>[NEG] Nhấn 'Đóng' – Hệ thống không lưu thay đổi</t>
        </is>
      </c>
      <c r="E7" s="23" t="inlineStr">
        <is>
          <t>Negative</t>
        </is>
      </c>
      <c r="F7" s="23" t="inlineStr">
        <is>
          <t>Regression</t>
        </is>
      </c>
      <c r="G7" s="23" t="inlineStr">
        <is>
          <t>P2</t>
        </is>
      </c>
      <c r="H7" s="23" t="inlineStr">
        <is>
          <t>Đang trong màn hình Sửa Ma trận, đã thực hiện một số thay đổi.</t>
        </is>
      </c>
      <c r="I7" s="23" t="inlineStr">
        <is>
          <t>1. Thực hiện sửa ma trận.
2. Nhấn 'Đóng' thay vì 'Xác nhận'.</t>
        </is>
      </c>
      <c r="J7" s="23" t="inlineStr">
        <is>
          <t>(i) Logic: Hệ thống không lưu bất kỳ thay đổi nào.
(ii) UI: Màn hình đóng lại, quay về danh sách Ma trận với dữ liệu cũ không thay đổi.</t>
        </is>
      </c>
      <c r="K7" s="23" t="inlineStr">
        <is>
          <t>II.5.4.5 – BR_02</t>
        </is>
      </c>
      <c r="L7" s="23" t="inlineStr">
        <is>
          <t>BR_02</t>
        </is>
      </c>
      <c r="M7" s="23" t="inlineStr">
        <is>
          <t>SA05-BR02-NEG-001</t>
        </is>
      </c>
      <c r="N7" s="23" t="inlineStr">
        <is>
          <t>[v0.9-NEW]</t>
        </is>
      </c>
      <c r="O7" s="23" t="n"/>
      <c r="P7" s="23" t="n"/>
      <c r="Q7" s="23" t="n"/>
      <c r="R7" s="23" t="n"/>
      <c r="S7" s="23" t="n"/>
      <c r="T7" s="23" t="n"/>
      <c r="U7" s="23" t="n"/>
    </row>
    <row r="8">
      <c r="A8" s="23" t="inlineStr">
        <is>
          <t>SA05-BR03-HAP-001</t>
        </is>
      </c>
      <c r="B8" s="23" t="inlineStr">
        <is>
          <t>SA05</t>
        </is>
      </c>
      <c r="C8" s="23" t="inlineStr">
        <is>
          <t>Ma trận phê duyệt</t>
        </is>
      </c>
      <c r="D8" s="23" t="inlineStr">
        <is>
          <t>[HAP] Nhấn '+' – Cấp duyệt mới được sinh với STT đúng thứ tự tăng dần</t>
        </is>
      </c>
      <c r="E8" s="23" t="inlineStr">
        <is>
          <t>Happy</t>
        </is>
      </c>
      <c r="F8" s="23" t="inlineStr">
        <is>
          <t>Regression</t>
        </is>
      </c>
      <c r="G8" s="23" t="inlineStr">
        <is>
          <t>P2</t>
        </is>
      </c>
      <c r="H8" s="23" t="inlineStr">
        <is>
          <t>Ma trận đang có 2 cấp. Màn hình Sửa đang mở.</t>
        </is>
      </c>
      <c r="I8" s="23" t="inlineStr">
        <is>
          <t>1. Nhấn nút '+'.
2. Quan sát cấp phê duyệt mới được thêm vào.</t>
        </is>
      </c>
      <c r="J8" s="23" t="inlineStr">
        <is>
          <t>(i) Logic: Cấp duyệt mới được tạo tự động với số thứ tự = cấp hiện tại lớn nhất + 1.
(ii) UI: Trường 'Nhóm người dùng thực hiện' hiển thị trống, sẵn sàng để chọn.</t>
        </is>
      </c>
      <c r="K8" s="23" t="inlineStr">
        <is>
          <t>II.5.4.5 – BR_03</t>
        </is>
      </c>
      <c r="L8" s="23" t="inlineStr">
        <is>
          <t>BR_03</t>
        </is>
      </c>
      <c r="M8" s="23" t="inlineStr">
        <is>
          <t>SA05-BR03-HAP-001</t>
        </is>
      </c>
      <c r="N8" s="23" t="inlineStr">
        <is>
          <t>[v0.9-NEW]</t>
        </is>
      </c>
      <c r="O8" s="23" t="n"/>
      <c r="P8" s="23" t="n"/>
      <c r="Q8" s="23" t="n"/>
      <c r="R8" s="23" t="n"/>
      <c r="S8" s="23" t="n"/>
      <c r="T8" s="23" t="n"/>
      <c r="U8" s="23" t="n"/>
    </row>
    <row r="9">
      <c r="A9" s="23" t="inlineStr">
        <is>
          <t>SA05-SCOPE-001</t>
        </is>
      </c>
      <c r="B9" s="23" t="inlineStr">
        <is>
          <t>SA05</t>
        </is>
      </c>
      <c r="C9" s="23" t="inlineStr">
        <is>
          <t>Ma trận phê duyệt</t>
        </is>
      </c>
      <c r="D9" s="23" t="inlineStr">
        <is>
          <t>[PENDING] Xác nhận scope: Các chức năng khác (SA.03, SA.04) có thuộc ma trận không?</t>
        </is>
      </c>
      <c r="E9" s="23" t="inlineStr">
        <is>
          <t>Negative</t>
        </is>
      </c>
      <c r="F9" s="23" t="inlineStr">
        <is>
          <t>Regression</t>
        </is>
      </c>
      <c r="G9" s="23" t="inlineStr">
        <is>
          <t>P2</t>
        </is>
      </c>
      <c r="H9" s="23" t="inlineStr">
        <is>
          <t>[PENDING] Chờ BA confirm scope đầy đủ của Ma trận phê duyệt.</t>
        </is>
      </c>
      <c r="I9" s="23" t="inlineStr">
        <is>
          <t>1. Kiểm tra danh sách chức năng hiển thị tại SA.05.
2. Đối chiếu với Q-17 trong file Q&amp;A Clarify.</t>
        </is>
      </c>
      <c r="J9" s="23" t="inlineStr">
        <is>
          <t>[PENDING] Cần BA xác nhận: SA.03 Quản lý NSD, SA.04 Phân quyền có thuộc Ma trận phê duyệt không? Nếu có thì bổ sung TC tương ứng.</t>
        </is>
      </c>
      <c r="K9" s="23" t="inlineStr">
        <is>
          <t>II.5.4.5 SA.05</t>
        </is>
      </c>
      <c r="L9" s="23" t="n"/>
      <c r="M9" s="23" t="inlineStr">
        <is>
          <t>SA05-SCOPE-001</t>
        </is>
      </c>
      <c r="N9" s="23" t="inlineStr">
        <is>
          <t>[PENDING] Q-17 – Chờ BA clarify phạm vi module trong Ma trận</t>
        </is>
      </c>
      <c r="O9" s="23" t="n"/>
      <c r="P9" s="23" t="n"/>
      <c r="Q9" s="23" t="n"/>
      <c r="R9" s="23" t="n"/>
      <c r="S9" s="23" t="n"/>
      <c r="T9" s="23" t="n"/>
      <c r="U9" s="23" t="n"/>
    </row>
    <row r="10">
      <c r="A10" s="23" t="inlineStr">
        <is>
          <t>SA05-INT-001</t>
        </is>
      </c>
      <c r="B10" s="23" t="inlineStr">
        <is>
          <t>SA05</t>
        </is>
      </c>
      <c r="C10" s="23" t="inlineStr">
        <is>
          <t>Ma trận phê duyệt</t>
        </is>
      </c>
      <c r="D10" s="23" t="inlineStr">
        <is>
          <t>Tích hợp: Cấu hình 2 cấp duyệt → Thêm mới SPDV → Kiểm tra luồng duyệt đúng 2 cấp</t>
        </is>
      </c>
      <c r="E10" s="23" t="inlineStr">
        <is>
          <t>Integration</t>
        </is>
      </c>
      <c r="F10" s="23" t="inlineStr">
        <is>
          <t>Smoke</t>
        </is>
      </c>
      <c r="G10" s="23" t="inlineStr">
        <is>
          <t>P1</t>
        </is>
      </c>
      <c r="H10" s="23" t="inlineStr">
        <is>
          <t>Ma trận phê duyệt cho SPDV đã được cấu hình 2 cấp. Người duyệt cấp 1 và cấp 2 đã được gán.</t>
        </is>
      </c>
      <c r="I10" s="23" t="inlineStr">
        <is>
          <t>1. Maker tạo mới 1 SPDV.
2. Đăng nhập user Checker cấp 1 → Duyệt.
3. Kiểm tra trạng thái bản ghi.
4. Đăng nhập user Checker cấp 2 → Duyệt.
5. Kiểm tra kết quả cuối.</t>
        </is>
      </c>
      <c r="J10" s="23" t="inlineStr">
        <is>
          <t>(i) Sau bước 2: Trạng thái = 'Chờ duyệt', thông báo 'Đã chuyển cho người duyệt tiếp theo'.
(ii) Sau bước 4: Trạng thái = 'Đã duyệt', SPDV xuất hiện trong danh mục.
(iii) Audit log ghi đầy đủ Maker, Checker cấp 1, Checker cấp 2, timestamp.</t>
        </is>
      </c>
      <c r="K10" s="23" t="inlineStr">
        <is>
          <t>II.5.4.5 SA.05 + II.5.1.1</t>
        </is>
      </c>
      <c r="L10" s="23" t="inlineStr">
        <is>
          <t>BR_01;BR_03</t>
        </is>
      </c>
      <c r="M10" s="23" t="inlineStr">
        <is>
          <t>SA05-INT-001</t>
        </is>
      </c>
      <c r="N10" s="23" t="inlineStr">
        <is>
          <t>[v0.9-NEW] Kiểm tra end-to-end luồng duyệt đa cấp</t>
        </is>
      </c>
      <c r="O10" s="23" t="n"/>
      <c r="P10" s="23" t="n"/>
      <c r="Q10" s="23" t="n"/>
      <c r="R10" s="23" t="n"/>
      <c r="S10" s="23" t="n"/>
      <c r="T10" s="23" t="n"/>
      <c r="U10" s="23"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cols>
    <col width="14" customWidth="1" style="17" min="1" max="1"/>
    <col width="8" customWidth="1" style="17" min="2" max="2"/>
    <col width="22" customWidth="1" style="17" min="3" max="3"/>
    <col width="38" customWidth="1" style="17" min="4" max="4"/>
    <col width="12" customWidth="1" style="17" min="5" max="5"/>
    <col width="12" customWidth="1" style="17" min="6" max="6"/>
    <col width="9" customWidth="1" style="17" min="7" max="7"/>
    <col width="32" customWidth="1" style="17" min="8" max="8"/>
    <col width="42" customWidth="1" style="17" min="9" max="9"/>
    <col width="52" customWidth="1" style="17" min="10" max="10"/>
    <col width="22" customWidth="1" style="17" min="11" max="11"/>
    <col width="14" customWidth="1" style="17" min="12" max="12"/>
    <col width="14" customWidth="1" style="17" min="13" max="13"/>
    <col width="22" customWidth="1" style="17" min="14" max="14"/>
    <col width="12" customWidth="1" style="17" min="15" max="15"/>
    <col width="12" customWidth="1" style="17" min="16" max="16"/>
    <col width="12" customWidth="1" style="17" min="17" max="17"/>
    <col width="12" customWidth="1" style="17" min="18" max="18"/>
    <col width="12" customWidth="1" style="17" min="19" max="19"/>
    <col width="12" customWidth="1" style="17" min="20" max="20"/>
    <col width="12" customWidth="1" style="17" min="21" max="21"/>
  </cols>
  <sheetData>
    <row r="1">
      <c r="A1" s="24" t="inlineStr">
        <is>
          <t>TEST CASES — II.4.2.5. Truy thu Tận thu Nợ phí</t>
        </is>
      </c>
      <c r="B1" s="24" t="n"/>
      <c r="C1" s="24" t="n"/>
      <c r="D1" s="24" t="n"/>
      <c r="E1" s="24" t="n"/>
      <c r="F1" s="24" t="n"/>
      <c r="G1" s="24" t="n"/>
      <c r="H1" s="24" t="n"/>
      <c r="I1" s="24" t="n"/>
      <c r="J1" s="24" t="n"/>
      <c r="K1" s="24" t="n"/>
      <c r="L1" s="24" t="n"/>
      <c r="M1" s="24" t="n"/>
      <c r="N1" s="24" t="n"/>
      <c r="O1" s="24" t="n"/>
      <c r="P1" s="24" t="n"/>
      <c r="Q1" s="24" t="n"/>
      <c r="R1" s="24" t="n"/>
      <c r="S1" s="24" t="n"/>
      <c r="T1" s="24" t="n"/>
      <c r="U1" s="24" t="n"/>
    </row>
    <row r="2">
      <c r="A2" s="25" t="inlineStr">
        <is>
          <t>TC_ID</t>
        </is>
      </c>
      <c r="B2" s="25" t="inlineStr">
        <is>
          <t>Module</t>
        </is>
      </c>
      <c r="C2" s="25" t="inlineStr">
        <is>
          <t>Feature</t>
        </is>
      </c>
      <c r="D2" s="25" t="inlineStr">
        <is>
          <t>Title</t>
        </is>
      </c>
      <c r="E2" s="25" t="inlineStr">
        <is>
          <t>Type</t>
        </is>
      </c>
      <c r="F2" s="25" t="inlineStr">
        <is>
          <t>Category</t>
        </is>
      </c>
      <c r="G2" s="25" t="inlineStr">
        <is>
          <t>Priority</t>
        </is>
      </c>
      <c r="H2" s="25" t="inlineStr">
        <is>
          <t>Precondition</t>
        </is>
      </c>
      <c r="I2" s="25" t="inlineStr">
        <is>
          <t>Steps</t>
        </is>
      </c>
      <c r="J2" s="25" t="inlineStr">
        <is>
          <t>Expected</t>
        </is>
      </c>
      <c r="K2" s="25" t="inlineStr">
        <is>
          <t>URD_Ref</t>
        </is>
      </c>
      <c r="L2" s="25" t="inlineStr">
        <is>
          <t>BR_Ref</t>
        </is>
      </c>
      <c r="M2" s="25" t="inlineStr">
        <is>
          <t>Trace_ID</t>
        </is>
      </c>
      <c r="N2" s="25" t="inlineStr">
        <is>
          <t>Note</t>
        </is>
      </c>
      <c r="O2" s="25" t="inlineStr">
        <is>
          <t>Status R1</t>
        </is>
      </c>
      <c r="P2" s="25" t="inlineStr">
        <is>
          <t>Tester R1</t>
        </is>
      </c>
      <c r="Q2" s="25" t="inlineStr">
        <is>
          <t>Date R1</t>
        </is>
      </c>
      <c r="R2" s="25" t="inlineStr">
        <is>
          <t>Status R2</t>
        </is>
      </c>
      <c r="S2" s="25" t="inlineStr">
        <is>
          <t>Tester R2</t>
        </is>
      </c>
      <c r="T2" s="25" t="inlineStr">
        <is>
          <t>Date R2</t>
        </is>
      </c>
      <c r="U2" s="25" t="inlineStr">
        <is>
          <t>Final Status</t>
        </is>
      </c>
    </row>
    <row r="3">
      <c r="A3" s="23" t="inlineStr">
        <is>
          <t>DC-FLOW-001</t>
        </is>
      </c>
      <c r="B3" s="23" t="inlineStr">
        <is>
          <t>DC</t>
        </is>
      </c>
      <c r="C3" s="23" t="inlineStr">
        <is>
          <t>Truy thu đầu ngày</t>
        </is>
      </c>
      <c r="D3" s="23" t="inlineStr">
        <is>
          <t>[v0.9-NEW] Truy thu nợ phí đầu ngày cho KH có số dư T-1 &gt; 0</t>
        </is>
      </c>
      <c r="E3" s="23" t="inlineStr">
        <is>
          <t>Happy</t>
        </is>
      </c>
      <c r="F3" s="23" t="inlineStr">
        <is>
          <t>Smoke</t>
        </is>
      </c>
      <c r="G3" s="23" t="inlineStr">
        <is>
          <t>P1</t>
        </is>
      </c>
      <c r="H3" s="23" t="inlineStr">
        <is>
          <t>KH A nợ phí 100k, Tài khoản có số dư T-1 là 500k.</t>
        </is>
      </c>
      <c r="I3" s="23" t="inlineStr">
        <is>
          <t>1. Job truy thu đầu ngày thực thi.
2. Kiểm tra log hạch toán và số dư tài khoản.</t>
        </is>
      </c>
      <c r="J3" s="23" t="inlineStr">
        <is>
          <t>(i) Logic: Hệ thống tự quét các CIF có nợ và số dư T-1 &gt; 0.
(ii) Hạch toán: Call API hạch toán sang T24 với số tiền 100k.
(iii) Trạng thái: Nợ phí được quét sạch, chuyển trạng thái 'Đã thu'.</t>
        </is>
      </c>
      <c r="K3" s="23" t="inlineStr">
        <is>
          <t>URD II.4.2.5</t>
        </is>
      </c>
      <c r="L3" s="23" t="inlineStr">
        <is>
          <t>BR_NEW</t>
        </is>
      </c>
      <c r="M3" s="23" t="inlineStr">
        <is>
          <t>DC-DAUNGAY-01</t>
        </is>
      </c>
      <c r="N3" s="23" t="inlineStr">
        <is>
          <t>[v0.9-NEW] Luồng thu nợ tự động đầu ngày</t>
        </is>
      </c>
      <c r="O3" s="23" t="n"/>
      <c r="P3" s="23" t="n"/>
      <c r="Q3" s="23" t="n"/>
      <c r="R3" s="23" t="n"/>
      <c r="S3" s="23" t="n"/>
      <c r="T3" s="23" t="n"/>
      <c r="U3" s="23" t="n"/>
    </row>
    <row r="4">
      <c r="A4" s="23" t="inlineStr">
        <is>
          <t>DC-PRIORITY-001</t>
        </is>
      </c>
      <c r="B4" s="23" t="inlineStr">
        <is>
          <t>DC</t>
        </is>
      </c>
      <c r="C4" s="23" t="inlineStr">
        <is>
          <t>Thứ tự ưu tiên thu nợ</t>
        </is>
      </c>
      <c r="D4" s="23" t="inlineStr">
        <is>
          <t>[v0.9-NEW] Thứ tự thu nợ theo nhóm nghiệp vụ (thấp đến cao)</t>
        </is>
      </c>
      <c r="E4" s="23" t="inlineStr">
        <is>
          <t>Calculation</t>
        </is>
      </c>
      <c r="F4" s="23" t="inlineStr">
        <is>
          <t>Smoke</t>
        </is>
      </c>
      <c r="G4" s="23" t="inlineStr">
        <is>
          <t>P2</t>
        </is>
      </c>
      <c r="H4" s="23" t="inlineStr">
        <is>
          <t>KH nợ 2 loại phí: Phí Quản lý TK (Ưu tiên 1) và Phí SMS (Ưu tiên 2). Số dư TK chỉ đủ thu 1 loại.</t>
        </is>
      </c>
      <c r="I4" s="23" t="inlineStr">
        <is>
          <t>1. Job truy thu thực thi.
2. Kiểm tra hóa đơn nào được thanh toán trước.</t>
        </is>
      </c>
      <c r="J4" s="23" t="inlineStr">
        <is>
          <t>(i) Logic: Phí Quản lý TK (ưu tiên 1 - thấp nhất) phải được thu trước Phí SMS (ưu tiên 2).
(ii) Số dư không đủ cho kỳ sau thì dừng lại theo bước 5.4.</t>
        </is>
      </c>
      <c r="K4" s="23" t="inlineStr">
        <is>
          <t>URD II.4.2.5 Step 4</t>
        </is>
      </c>
      <c r="L4" s="23" t="inlineStr">
        <is>
          <t>SA_07</t>
        </is>
      </c>
      <c r="M4" s="23" t="inlineStr">
        <is>
          <t>DC-PRIO-01</t>
        </is>
      </c>
      <c r="N4" s="23" t="inlineStr">
        <is>
          <t>[v0.9-NEW] Kiểm tra thứ tự ưu tiên nghiệp vụ</t>
        </is>
      </c>
      <c r="O4" s="23" t="n"/>
      <c r="P4" s="23" t="n"/>
      <c r="Q4" s="23" t="n"/>
      <c r="R4" s="23" t="n"/>
      <c r="S4" s="23" t="n"/>
      <c r="T4" s="23" t="n"/>
      <c r="U4" s="23" t="n"/>
    </row>
    <row r="5">
      <c r="A5" s="23" t="inlineStr">
        <is>
          <t>DC-TANT HU-001</t>
        </is>
      </c>
      <c r="B5" s="23" t="inlineStr">
        <is>
          <t>DC</t>
        </is>
      </c>
      <c r="C5" s="23" t="inlineStr">
        <is>
          <t>Tận thu một phần</t>
        </is>
      </c>
      <c r="D5" s="23" t="inlineStr">
        <is>
          <t>[v0.9-NEW] Tận thu một phần phí khi số dư không đủ thanh toán toàn bộ</t>
        </is>
      </c>
      <c r="E5" s="23" t="inlineStr">
        <is>
          <t>Happy</t>
        </is>
      </c>
      <c r="F5" s="23" t="inlineStr">
        <is>
          <t>Smoke</t>
        </is>
      </c>
      <c r="G5" s="23" t="inlineStr">
        <is>
          <t>P1</t>
        </is>
      </c>
      <c r="H5" s="23" t="inlineStr">
        <is>
          <t>Nợ phí 200k, số dư thực tế chỉ có 120k.</t>
        </is>
      </c>
      <c r="I5" s="23" t="inlineStr">
        <is>
          <t>1. Thực hiện truy thu (biến động ghi có hoặc đầu ngày).
2. Quan sát hạch toán.</t>
        </is>
      </c>
      <c r="J5" s="23" t="inlineStr">
        <is>
          <t>(i) Logic: T24 thực hiện 'Tận thu' 120k phí.
(ii) ProfiX: Cập nhật nợ còn lại = 80k.
(iii) Trạng thái: Thanh toán một phần.</t>
        </is>
      </c>
      <c r="K5" s="23" t="inlineStr">
        <is>
          <t>URD II.4.2.5 Step 5.2</t>
        </is>
      </c>
      <c r="L5" s="23" t="inlineStr">
        <is>
          <t>T24 Integration</t>
        </is>
      </c>
      <c r="M5" s="23" t="inlineStr">
        <is>
          <t>DC-TANT HU-01</t>
        </is>
      </c>
      <c r="N5" s="23" t="inlineStr">
        <is>
          <t>[v0.9-NEW] Tận thu (Partial Collection)</t>
        </is>
      </c>
      <c r="O5" s="23" t="n"/>
      <c r="P5" s="23" t="n"/>
      <c r="Q5" s="23" t="n"/>
      <c r="R5" s="23" t="n"/>
      <c r="S5" s="23" t="n"/>
      <c r="T5" s="23" t="n"/>
      <c r="U5" s="23"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cols>
    <col width="14" customWidth="1" style="17" min="1" max="1"/>
    <col width="8" customWidth="1" style="17" min="2" max="2"/>
    <col width="22" customWidth="1" style="17" min="3" max="3"/>
    <col width="38" customWidth="1" style="17" min="4" max="4"/>
    <col width="12" customWidth="1" style="17" min="5" max="5"/>
    <col width="12" customWidth="1" style="17" min="6" max="6"/>
    <col width="9" customWidth="1" style="17" min="7" max="7"/>
    <col width="32" customWidth="1" style="17" min="8" max="8"/>
    <col width="42" customWidth="1" style="17" min="9" max="9"/>
    <col width="52" customWidth="1" style="17" min="10" max="10"/>
    <col width="22" customWidth="1" style="17" min="11" max="11"/>
    <col width="14" customWidth="1" style="17" min="12" max="12"/>
    <col width="14" customWidth="1" style="17" min="13" max="13"/>
    <col width="22" customWidth="1" style="17" min="14" max="14"/>
    <col width="12" customWidth="1" style="17" min="15" max="15"/>
    <col width="12" customWidth="1" style="17" min="16" max="16"/>
    <col width="12" customWidth="1" style="17" min="17" max="17"/>
    <col width="12" customWidth="1" style="17" min="18" max="18"/>
    <col width="12" customWidth="1" style="17" min="19" max="19"/>
    <col width="12" customWidth="1" style="17" min="20" max="20"/>
    <col width="12" customWidth="1" style="17" min="21" max="21"/>
  </cols>
  <sheetData>
    <row r="1">
      <c r="A1" s="24" t="inlineStr">
        <is>
          <t>TEST CASES — II.5.4.1. SA.01- Đăng nhập</t>
        </is>
      </c>
      <c r="B1" s="24" t="n"/>
      <c r="C1" s="24" t="n"/>
      <c r="D1" s="24" t="n"/>
      <c r="E1" s="24" t="n"/>
      <c r="F1" s="24" t="n"/>
      <c r="G1" s="24" t="n"/>
      <c r="H1" s="24" t="n"/>
      <c r="I1" s="24" t="n"/>
      <c r="J1" s="24" t="n"/>
      <c r="K1" s="24" t="n"/>
      <c r="L1" s="24" t="n"/>
      <c r="M1" s="24" t="n"/>
      <c r="N1" s="24" t="n"/>
      <c r="O1" s="24" t="n"/>
      <c r="P1" s="24" t="n"/>
      <c r="Q1" s="24" t="n"/>
      <c r="R1" s="24" t="n"/>
      <c r="S1" s="24" t="n"/>
      <c r="T1" s="24" t="n"/>
      <c r="U1" s="24" t="n"/>
    </row>
    <row r="2">
      <c r="A2" s="25" t="inlineStr">
        <is>
          <t>TC_ID</t>
        </is>
      </c>
      <c r="B2" s="25" t="inlineStr">
        <is>
          <t>Module</t>
        </is>
      </c>
      <c r="C2" s="25" t="inlineStr">
        <is>
          <t>Feature</t>
        </is>
      </c>
      <c r="D2" s="25" t="inlineStr">
        <is>
          <t>Title</t>
        </is>
      </c>
      <c r="E2" s="25" t="inlineStr">
        <is>
          <t>Type</t>
        </is>
      </c>
      <c r="F2" s="25" t="inlineStr">
        <is>
          <t>Category</t>
        </is>
      </c>
      <c r="G2" s="25" t="inlineStr">
        <is>
          <t>Priority</t>
        </is>
      </c>
      <c r="H2" s="25" t="inlineStr">
        <is>
          <t>Precondition</t>
        </is>
      </c>
      <c r="I2" s="25" t="inlineStr">
        <is>
          <t>Steps</t>
        </is>
      </c>
      <c r="J2" s="25" t="inlineStr">
        <is>
          <t>Expected</t>
        </is>
      </c>
      <c r="K2" s="25" t="inlineStr">
        <is>
          <t>URD_Ref</t>
        </is>
      </c>
      <c r="L2" s="25" t="inlineStr">
        <is>
          <t>BR_Ref</t>
        </is>
      </c>
      <c r="M2" s="25" t="inlineStr">
        <is>
          <t>Trace_ID</t>
        </is>
      </c>
      <c r="N2" s="25" t="inlineStr">
        <is>
          <t>Note</t>
        </is>
      </c>
      <c r="O2" s="25" t="inlineStr">
        <is>
          <t>Status R1</t>
        </is>
      </c>
      <c r="P2" s="25" t="inlineStr">
        <is>
          <t>Tester R1</t>
        </is>
      </c>
      <c r="Q2" s="25" t="inlineStr">
        <is>
          <t>Date R1</t>
        </is>
      </c>
      <c r="R2" s="25" t="inlineStr">
        <is>
          <t>Status R2</t>
        </is>
      </c>
      <c r="S2" s="25" t="inlineStr">
        <is>
          <t>Tester R2</t>
        </is>
      </c>
      <c r="T2" s="25" t="inlineStr">
        <is>
          <t>Date R2</t>
        </is>
      </c>
      <c r="U2" s="25" t="inlineStr">
        <is>
          <t>Final Status</t>
        </is>
      </c>
    </row>
    <row r="3">
      <c r="A3" s="23" t="inlineStr">
        <is>
          <t>SA01-ENTRAID-001</t>
        </is>
      </c>
      <c r="B3" s="23" t="inlineStr">
        <is>
          <t>SA01</t>
        </is>
      </c>
      <c r="C3" s="23" t="inlineStr">
        <is>
          <t>Login</t>
        </is>
      </c>
      <c r="D3" s="23" t="inlineStr">
        <is>
          <t>[v0.9-NEW] Đăng nhập hệ thống thông qua tích hợp EntraID (SSO)</t>
        </is>
      </c>
      <c r="E3" s="23" t="inlineStr">
        <is>
          <t>Happy</t>
        </is>
      </c>
      <c r="F3" s="23" t="inlineStr">
        <is>
          <t>Smoke</t>
        </is>
      </c>
      <c r="G3" s="23" t="inlineStr">
        <is>
          <t>P1</t>
        </is>
      </c>
      <c r="H3" s="23" t="inlineStr">
        <is>
          <t>Hệ thống đã tích hợp EntraID, User có tài khoản domain.</t>
        </is>
      </c>
      <c r="I3" s="23" t="inlineStr">
        <is>
          <t>1. Truy cập URL ProfiX.
2. Nhập email doanh nghiệp &amp; Password thông qua portal EntraID.</t>
        </is>
      </c>
      <c r="J3" s="23" t="inlineStr">
        <is>
          <t>(i) UI: Điều hướng sang trang đăng nhập của Microsoft/EntraID.
(ii) Logic: Token trả về hợp lệ → Đăng nhập thành công vào ProfiX.
(iii) Roles: Phân quyền đúng theo nhóm user đã map tại SA.03.</t>
        </is>
      </c>
      <c r="K3" s="23" t="inlineStr">
        <is>
          <t>URD SA.01 BR_04</t>
        </is>
      </c>
      <c r="L3" s="23" t="inlineStr">
        <is>
          <t>EntraID</t>
        </is>
      </c>
      <c r="M3" s="23" t="inlineStr">
        <is>
          <t>LOGIN-SSO-01</t>
        </is>
      </c>
      <c r="N3" s="23" t="inlineStr">
        <is>
          <t>[v0.9-NEW] Bỏ Captcha, dùng SSO</t>
        </is>
      </c>
      <c r="O3" s="23" t="n"/>
      <c r="P3" s="23" t="n"/>
      <c r="Q3" s="23" t="n"/>
      <c r="R3" s="23" t="n"/>
      <c r="S3" s="23" t="n"/>
      <c r="T3" s="23" t="n"/>
      <c r="U3" s="23" t="n"/>
    </row>
    <row r="4">
      <c r="A4" s="23" t="inlineStr">
        <is>
          <t>SA01-LOGOUT-001</t>
        </is>
      </c>
      <c r="B4" s="23" t="inlineStr">
        <is>
          <t>SA01</t>
        </is>
      </c>
      <c r="C4" s="23" t="inlineStr">
        <is>
          <t>Logout</t>
        </is>
      </c>
      <c r="D4" s="23" t="inlineStr">
        <is>
          <t>Đăng xuất và xóa session EntraID</t>
        </is>
      </c>
      <c r="E4" s="23" t="inlineStr">
        <is>
          <t>Happy</t>
        </is>
      </c>
      <c r="F4" s="23" t="inlineStr">
        <is>
          <t>Regression</t>
        </is>
      </c>
      <c r="G4" s="23" t="inlineStr">
        <is>
          <t>P2</t>
        </is>
      </c>
      <c r="H4" s="23" t="inlineStr">
        <is>
          <t>Đang đăng nhập hệ thống.</t>
        </is>
      </c>
      <c r="I4" s="23" t="inlineStr">
        <is>
          <t>1. Nhấn nút 'Đăng xuất'.
2. Thử nhấn nút 'Back' của trình duyệt.</t>
        </is>
      </c>
      <c r="J4" s="23" t="inlineStr">
        <is>
          <t>(i) UI: Chuyển về trang login hoặc trang Logout success của MS.
(ii) Logic: Session tại ProfiX bị hủy, không thể back để vào lại trang dashboard.</t>
        </is>
      </c>
      <c r="K4" s="23" t="inlineStr">
        <is>
          <t>URD SA.02</t>
        </is>
      </c>
      <c r="L4" s="23" t="n"/>
      <c r="M4" s="23" t="inlineStr">
        <is>
          <t>LOGOUT-01</t>
        </is>
      </c>
      <c r="N4" s="23" t="n"/>
      <c r="O4" s="23" t="n"/>
      <c r="P4" s="23" t="n"/>
      <c r="Q4" s="23" t="n"/>
      <c r="R4" s="23" t="n"/>
      <c r="S4" s="23" t="n"/>
      <c r="T4" s="23" t="n"/>
      <c r="U4" s="23"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cols>
    <col width="14" customWidth="1" style="17" min="1" max="1"/>
    <col width="8" customWidth="1" style="17" min="2" max="2"/>
    <col width="22" customWidth="1" style="17" min="3" max="3"/>
    <col width="38" customWidth="1" style="17" min="4" max="4"/>
    <col width="12" customWidth="1" style="17" min="5" max="5"/>
    <col width="12" customWidth="1" style="17" min="6" max="6"/>
    <col width="9" customWidth="1" style="17" min="7" max="7"/>
    <col width="32" customWidth="1" style="17" min="8" max="8"/>
    <col width="42" customWidth="1" style="17" min="9" max="9"/>
    <col width="52" customWidth="1" style="17" min="10" max="10"/>
    <col width="22" customWidth="1" style="17" min="11" max="11"/>
    <col width="14" customWidth="1" style="17" min="12" max="12"/>
    <col width="14" customWidth="1" style="17" min="13" max="13"/>
    <col width="22" customWidth="1" style="17" min="14" max="14"/>
    <col width="12" customWidth="1" style="17" min="15" max="15"/>
    <col width="12" customWidth="1" style="17" min="16" max="16"/>
    <col width="12" customWidth="1" style="17" min="17" max="17"/>
    <col width="12" customWidth="1" style="17" min="18" max="18"/>
    <col width="12" customWidth="1" style="17" min="19" max="19"/>
    <col width="12" customWidth="1" style="17" min="20" max="20"/>
    <col width="12" customWidth="1" style="17" min="21" max="21"/>
  </cols>
  <sheetData>
    <row r="1">
      <c r="A1" s="24" t="inlineStr">
        <is>
          <t>TEST CASES — II.4.2.1. Quy trình Thu phí ngay theo giao dịch</t>
        </is>
      </c>
      <c r="B1" s="24" t="n"/>
      <c r="C1" s="24" t="n"/>
      <c r="D1" s="24" t="n"/>
      <c r="E1" s="24" t="n"/>
      <c r="F1" s="24" t="n"/>
      <c r="G1" s="24" t="n"/>
      <c r="H1" s="24" t="n"/>
      <c r="I1" s="24" t="n"/>
      <c r="J1" s="24" t="n"/>
      <c r="K1" s="24" t="n"/>
      <c r="L1" s="24" t="n"/>
      <c r="M1" s="24" t="n"/>
      <c r="N1" s="24" t="n"/>
      <c r="O1" s="24" t="n"/>
      <c r="P1" s="24" t="n"/>
      <c r="Q1" s="24" t="n"/>
      <c r="R1" s="24" t="n"/>
      <c r="S1" s="24" t="n"/>
      <c r="T1" s="24" t="n"/>
      <c r="U1" s="24" t="n"/>
    </row>
    <row r="2">
      <c r="A2" s="25" t="inlineStr">
        <is>
          <t>TC_ID</t>
        </is>
      </c>
      <c r="B2" s="25" t="inlineStr">
        <is>
          <t>Module</t>
        </is>
      </c>
      <c r="C2" s="25" t="inlineStr">
        <is>
          <t>Feature</t>
        </is>
      </c>
      <c r="D2" s="25" t="inlineStr">
        <is>
          <t>Title</t>
        </is>
      </c>
      <c r="E2" s="25" t="inlineStr">
        <is>
          <t>Type</t>
        </is>
      </c>
      <c r="F2" s="25" t="inlineStr">
        <is>
          <t>Category</t>
        </is>
      </c>
      <c r="G2" s="25" t="inlineStr">
        <is>
          <t>Priority</t>
        </is>
      </c>
      <c r="H2" s="25" t="inlineStr">
        <is>
          <t>Precondition</t>
        </is>
      </c>
      <c r="I2" s="25" t="inlineStr">
        <is>
          <t>Steps</t>
        </is>
      </c>
      <c r="J2" s="25" t="inlineStr">
        <is>
          <t>Expected</t>
        </is>
      </c>
      <c r="K2" s="25" t="inlineStr">
        <is>
          <t>URD_Ref</t>
        </is>
      </c>
      <c r="L2" s="25" t="inlineStr">
        <is>
          <t>BR_Ref</t>
        </is>
      </c>
      <c r="M2" s="25" t="inlineStr">
        <is>
          <t>Trace_ID</t>
        </is>
      </c>
      <c r="N2" s="25" t="inlineStr">
        <is>
          <t>Note</t>
        </is>
      </c>
      <c r="O2" s="25" t="inlineStr">
        <is>
          <t>Status R1</t>
        </is>
      </c>
      <c r="P2" s="25" t="inlineStr">
        <is>
          <t>Tester R1</t>
        </is>
      </c>
      <c r="Q2" s="25" t="inlineStr">
        <is>
          <t>Date R1</t>
        </is>
      </c>
      <c r="R2" s="25" t="inlineStr">
        <is>
          <t>Status R2</t>
        </is>
      </c>
      <c r="S2" s="25" t="inlineStr">
        <is>
          <t>Tester R2</t>
        </is>
      </c>
      <c r="T2" s="25" t="inlineStr">
        <is>
          <t>Date R2</t>
        </is>
      </c>
      <c r="U2" s="25" t="inlineStr">
        <is>
          <t>Final Status</t>
        </is>
      </c>
    </row>
    <row r="3">
      <c r="A3" s="23" t="inlineStr">
        <is>
          <t>FE-FLOW-001</t>
        </is>
      </c>
      <c r="B3" s="23" t="inlineStr">
        <is>
          <t>FE</t>
        </is>
      </c>
      <c r="C3" s="23" t="inlineStr">
        <is>
          <t>Transaction Fee Flow</t>
        </is>
      </c>
      <c r="D3" s="23" t="inlineStr">
        <is>
          <t>[v0.9-NEW] Maker sửa GIẢM phí thực thu</t>
        </is>
      </c>
      <c r="E3" s="23" t="inlineStr">
        <is>
          <t>Happy</t>
        </is>
      </c>
      <c r="F3" s="23" t="inlineStr">
        <is>
          <t>Smoke</t>
        </is>
      </c>
      <c r="G3" s="23" t="inlineStr">
        <is>
          <t>P1</t>
        </is>
      </c>
      <c r="H3" s="23" t="inlineStr">
        <is>
          <t>Đang thực hiện giao dịch (vd: chuyển tiền), hệ thống gợi ý phí 20k.</t>
        </is>
      </c>
      <c r="I3" s="23" t="inlineStr">
        <is>
          <t>1. Nhập số tiền 15k vào ô phí thực thu (giảm so với system fee).
2. Nhấn xác nhận.</t>
        </is>
      </c>
      <c r="J3" s="23" t="inlineStr">
        <is>
          <t>(i) Logic: Hệ thống chấp nhận cho phép sửa số tiền giảm (v0.9).
(ii) Sau duyệt: Giao dịch hạch toán với phí 15k.
(iii) Audit log ghi rõ: System Fee 20k - Actual Fee 15k.</t>
        </is>
      </c>
      <c r="K3" s="23" t="inlineStr">
        <is>
          <t>URD II.4.2.1 Step 5</t>
        </is>
      </c>
      <c r="L3" s="23" t="inlineStr">
        <is>
          <t>BR_NEW</t>
        </is>
      </c>
      <c r="M3" s="23" t="inlineStr">
        <is>
          <t>FE-REDUCE-01</t>
        </is>
      </c>
      <c r="N3" s="23" t="inlineStr">
        <is>
          <t>[v0.9-NEW] Cho phép giảm phí (v0.7 chỉ cho tăng)</t>
        </is>
      </c>
      <c r="O3" s="23" t="n"/>
      <c r="P3" s="23" t="n"/>
      <c r="Q3" s="23" t="n"/>
      <c r="R3" s="23" t="n"/>
      <c r="S3" s="23" t="n"/>
      <c r="T3" s="23" t="n"/>
      <c r="U3" s="23"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cols>
    <col width="14" customWidth="1" style="17" min="1" max="1"/>
    <col width="8" customWidth="1" style="17" min="2" max="2"/>
    <col width="22" customWidth="1" style="17" min="3" max="3"/>
    <col width="38" customWidth="1" style="17" min="4" max="4"/>
    <col width="12" customWidth="1" style="17" min="5" max="5"/>
    <col width="12" customWidth="1" style="17" min="6" max="6"/>
    <col width="9" customWidth="1" style="17" min="7" max="7"/>
    <col width="32" customWidth="1" style="17" min="8" max="8"/>
    <col width="42" customWidth="1" style="17" min="9" max="9"/>
    <col width="52" customWidth="1" style="17" min="10" max="10"/>
    <col width="22" customWidth="1" style="17" min="11" max="11"/>
    <col width="14" customWidth="1" style="17" min="12" max="12"/>
    <col width="14" customWidth="1" style="17" min="13" max="13"/>
    <col width="22" customWidth="1" style="17" min="14" max="14"/>
    <col width="12" customWidth="1" style="17" min="15" max="15"/>
    <col width="12" customWidth="1" style="17" min="16" max="16"/>
    <col width="12" customWidth="1" style="17" min="17" max="17"/>
    <col width="12" customWidth="1" style="17" min="18" max="18"/>
    <col width="12" customWidth="1" style="17" min="19" max="19"/>
    <col width="12" customWidth="1" style="17" min="20" max="20"/>
    <col width="12" customWidth="1" style="17" min="21" max="21"/>
  </cols>
  <sheetData>
    <row r="1">
      <c r="A1" s="24" t="inlineStr">
        <is>
          <t>TEST CASES — II.5.4.9. SA.09- Quản lý danh sách Job sinh dữ liệu phí định kỳ</t>
        </is>
      </c>
      <c r="B1" s="24" t="n"/>
      <c r="C1" s="24" t="n"/>
      <c r="D1" s="24" t="n"/>
      <c r="E1" s="24" t="n"/>
      <c r="F1" s="24" t="n"/>
      <c r="G1" s="24" t="n"/>
      <c r="H1" s="24" t="n"/>
      <c r="I1" s="24" t="n"/>
      <c r="J1" s="24" t="n"/>
      <c r="K1" s="24" t="n"/>
      <c r="L1" s="24" t="n"/>
      <c r="M1" s="24" t="n"/>
      <c r="N1" s="24" t="n"/>
      <c r="O1" s="24" t="n"/>
      <c r="P1" s="24" t="n"/>
      <c r="Q1" s="24" t="n"/>
      <c r="R1" s="24" t="n"/>
      <c r="S1" s="24" t="n"/>
      <c r="T1" s="24" t="n"/>
      <c r="U1" s="24" t="n"/>
    </row>
    <row r="2">
      <c r="A2" s="25" t="inlineStr">
        <is>
          <t>TC_ID</t>
        </is>
      </c>
      <c r="B2" s="25" t="inlineStr">
        <is>
          <t>Module</t>
        </is>
      </c>
      <c r="C2" s="25" t="inlineStr">
        <is>
          <t>Feature</t>
        </is>
      </c>
      <c r="D2" s="25" t="inlineStr">
        <is>
          <t>Title</t>
        </is>
      </c>
      <c r="E2" s="25" t="inlineStr">
        <is>
          <t>Type</t>
        </is>
      </c>
      <c r="F2" s="25" t="inlineStr">
        <is>
          <t>Category</t>
        </is>
      </c>
      <c r="G2" s="25" t="inlineStr">
        <is>
          <t>Priority</t>
        </is>
      </c>
      <c r="H2" s="25" t="inlineStr">
        <is>
          <t>Precondition</t>
        </is>
      </c>
      <c r="I2" s="25" t="inlineStr">
        <is>
          <t>Steps</t>
        </is>
      </c>
      <c r="J2" s="25" t="inlineStr">
        <is>
          <t>Expected</t>
        </is>
      </c>
      <c r="K2" s="25" t="inlineStr">
        <is>
          <t>URD_Ref</t>
        </is>
      </c>
      <c r="L2" s="25" t="inlineStr">
        <is>
          <t>BR_Ref</t>
        </is>
      </c>
      <c r="M2" s="25" t="inlineStr">
        <is>
          <t>Trace_ID</t>
        </is>
      </c>
      <c r="N2" s="25" t="inlineStr">
        <is>
          <t>Note</t>
        </is>
      </c>
      <c r="O2" s="25" t="inlineStr">
        <is>
          <t>Status R1</t>
        </is>
      </c>
      <c r="P2" s="25" t="inlineStr">
        <is>
          <t>Tester R1</t>
        </is>
      </c>
      <c r="Q2" s="25" t="inlineStr">
        <is>
          <t>Date R1</t>
        </is>
      </c>
      <c r="R2" s="25" t="inlineStr">
        <is>
          <t>Status R2</t>
        </is>
      </c>
      <c r="S2" s="25" t="inlineStr">
        <is>
          <t>Tester R2</t>
        </is>
      </c>
      <c r="T2" s="25" t="inlineStr">
        <is>
          <t>Date R2</t>
        </is>
      </c>
      <c r="U2" s="25" t="inlineStr">
        <is>
          <t>Final Status</t>
        </is>
      </c>
    </row>
    <row r="3">
      <c r="A3" s="23" t="inlineStr">
        <is>
          <t>SA09-CURRENCY-001</t>
        </is>
      </c>
      <c r="B3" s="23" t="inlineStr">
        <is>
          <t>SA09</t>
        </is>
      </c>
      <c r="C3" s="23" t="inlineStr">
        <is>
          <t>Job Periodic Fee</t>
        </is>
      </c>
      <c r="D3" s="23" t="inlineStr">
        <is>
          <t>[v0.9-NEW] Job không thu phí khi tài khoản không cùng loại tiền với Code phí</t>
        </is>
      </c>
      <c r="E3" s="23" t="inlineStr">
        <is>
          <t>Negative</t>
        </is>
      </c>
      <c r="F3" s="23" t="inlineStr">
        <is>
          <t>Smoke</t>
        </is>
      </c>
      <c r="G3" s="23" t="inlineStr">
        <is>
          <t>P1</t>
        </is>
      </c>
      <c r="H3" s="23" t="inlineStr">
        <is>
          <t>Code phí quản lý TK định kỳ là tiền USD. KH chỉ có tài khoản VND.</t>
        </is>
      </c>
      <c r="I3" s="23" t="inlineStr">
        <is>
          <t>1. Chạy Job sinh dữ liệu thu phí định kỳ.
2. Quan sát log sinh dữ liệu.</t>
        </is>
      </c>
      <c r="J3" s="23" t="inlineStr">
        <is>
          <t>(i) Logic: Hệ thống chặn không thu phí do lệch loại tiền tài khoản (v0.9).
(ii) Trạng thái: Ghi nhận trong log job là 'Không thu phí - Sai loại tiền'.
(iii) Không sinh message sang Topic.</t>
        </is>
      </c>
      <c r="K3" s="23" t="inlineStr">
        <is>
          <t>URD SA.09 Step 2</t>
        </is>
      </c>
      <c r="L3" s="23" t="inlineStr">
        <is>
          <t>BR_CURRENCY</t>
        </is>
      </c>
      <c r="M3" s="23" t="inlineStr">
        <is>
          <t>SA09-CURR-NEG-01</t>
        </is>
      </c>
      <c r="N3" s="23" t="inlineStr">
        <is>
          <t>[v0.9-NEW] Rule mới: check loại tiền</t>
        </is>
      </c>
      <c r="O3" s="23" t="n"/>
      <c r="P3" s="23" t="n"/>
      <c r="Q3" s="23" t="n"/>
      <c r="R3" s="23" t="n"/>
      <c r="S3" s="23" t="n"/>
      <c r="T3" s="23" t="n"/>
      <c r="U3" s="23"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TC ID</t>
        </is>
      </c>
      <c r="B1" t="inlineStr">
        <is>
          <t>Module</t>
        </is>
      </c>
      <c r="C1" t="inlineStr">
        <is>
          <t>Feature</t>
        </is>
      </c>
      <c r="D1" t="inlineStr">
        <is>
          <t>Steps</t>
        </is>
      </c>
      <c r="E1" t="inlineStr">
        <is>
          <t>Expected Result</t>
        </is>
      </c>
      <c r="F1" t="inlineStr">
        <is>
          <t>Type</t>
        </is>
      </c>
    </row>
    <row r="2">
      <c r="A2" t="inlineStr">
        <is>
          <t>TC_API_PROFIX_001</t>
        </is>
      </c>
      <c r="B2" t="inlineStr">
        <is>
          <t>Profix API</t>
        </is>
      </c>
      <c r="C2" t="inlineStr">
        <is>
          <t>POST /jobs</t>
        </is>
      </c>
      <c r="D2" t="inlineStr">
        <is>
          <t>1. Gửi request POST tới /jobs
2. Sử dụng request body/params hợp lệ</t>
        </is>
      </c>
      <c r="E2" t="inlineStr">
        <is>
          <t>200 OK. Phản hồi chứa dữ liệu đúng định nghĩa.</t>
        </is>
      </c>
      <c r="F2" t="inlineStr">
        <is>
          <t>Positive</t>
        </is>
      </c>
    </row>
    <row r="3">
      <c r="A3" t="inlineStr">
        <is>
          <t>TC_API_PROFIX_002</t>
        </is>
      </c>
      <c r="B3" t="inlineStr">
        <is>
          <t>Profix API</t>
        </is>
      </c>
      <c r="C3" t="inlineStr">
        <is>
          <t>POST /jobs</t>
        </is>
      </c>
      <c r="D3" t="inlineStr">
        <is>
          <t>1. Gửi request POST tới /jobs
2. Không đính kèm Authorization header</t>
        </is>
      </c>
      <c r="E3" t="inlineStr">
        <is>
          <t>401 Unauthorized.</t>
        </is>
      </c>
      <c r="F3" t="inlineStr">
        <is>
          <t>Negative</t>
        </is>
      </c>
    </row>
    <row r="4">
      <c r="A4" t="inlineStr">
        <is>
          <t>TC_API_PROFIX_003</t>
        </is>
      </c>
      <c r="B4" t="inlineStr">
        <is>
          <t>Profix API</t>
        </is>
      </c>
      <c r="C4" t="inlineStr">
        <is>
          <t>POST /jobs</t>
        </is>
      </c>
      <c r="D4" t="inlineStr">
        <is>
          <t>1. Gửi request POST tới /jobs
2. Gửi body JSON rỗng hoặc sai định dạng</t>
        </is>
      </c>
      <c r="E4" t="inlineStr">
        <is>
          <t>400 Bad Request.</t>
        </is>
      </c>
      <c r="F4" t="inlineStr">
        <is>
          <t>Negative</t>
        </is>
      </c>
    </row>
    <row r="5">
      <c r="A5" t="inlineStr">
        <is>
          <t>TC_API_PROFIX_004</t>
        </is>
      </c>
      <c r="B5" t="inlineStr">
        <is>
          <t>Profix API</t>
        </is>
      </c>
      <c r="C5" t="inlineStr">
        <is>
          <t>GET /jobs/list</t>
        </is>
      </c>
      <c r="D5" t="inlineStr">
        <is>
          <t>1. Gửi request GET tới /jobs/list
2. Sử dụng request body/params hợp lệ</t>
        </is>
      </c>
      <c r="E5" t="inlineStr">
        <is>
          <t>200 OK. Phản hồi chứa dữ liệu đúng định nghĩa.</t>
        </is>
      </c>
      <c r="F5" t="inlineStr">
        <is>
          <t>Positive</t>
        </is>
      </c>
    </row>
    <row r="6">
      <c r="A6" t="inlineStr">
        <is>
          <t>TC_API_PROFIX_005</t>
        </is>
      </c>
      <c r="B6" t="inlineStr">
        <is>
          <t>Profix API</t>
        </is>
      </c>
      <c r="C6" t="inlineStr">
        <is>
          <t>GET /jobs/list</t>
        </is>
      </c>
      <c r="D6" t="inlineStr">
        <is>
          <t>1. Gửi request GET tới /jobs/list
2. Không đính kèm Authorization header</t>
        </is>
      </c>
      <c r="E6" t="inlineStr">
        <is>
          <t>401 Unauthorized.</t>
        </is>
      </c>
      <c r="F6" t="inlineStr">
        <is>
          <t>Negative</t>
        </is>
      </c>
    </row>
    <row r="7">
      <c r="A7" t="inlineStr">
        <is>
          <t>TC_API_PROFIX_006</t>
        </is>
      </c>
      <c r="B7" t="inlineStr">
        <is>
          <t>Profix API</t>
        </is>
      </c>
      <c r="C7" t="inlineStr">
        <is>
          <t>GET /jobs/{id}</t>
        </is>
      </c>
      <c r="D7" t="inlineStr">
        <is>
          <t>1. Gửi request GET tới /jobs/{id}
2. Sử dụng request body/params hợp lệ</t>
        </is>
      </c>
      <c r="E7" t="inlineStr">
        <is>
          <t>200 OK. Phản hồi chứa dữ liệu đúng định nghĩa.</t>
        </is>
      </c>
      <c r="F7" t="inlineStr">
        <is>
          <t>Positive</t>
        </is>
      </c>
    </row>
    <row r="8">
      <c r="A8" t="inlineStr">
        <is>
          <t>TC_API_PROFIX_007</t>
        </is>
      </c>
      <c r="B8" t="inlineStr">
        <is>
          <t>Profix API</t>
        </is>
      </c>
      <c r="C8" t="inlineStr">
        <is>
          <t>GET /jobs/{id}</t>
        </is>
      </c>
      <c r="D8" t="inlineStr">
        <is>
          <t>1. Gửi request GET tới /jobs/{id}
2. Không đính kèm Authorization header</t>
        </is>
      </c>
      <c r="E8" t="inlineStr">
        <is>
          <t>401 Unauthorized.</t>
        </is>
      </c>
      <c r="F8" t="inlineStr">
        <is>
          <t>Negative</t>
        </is>
      </c>
    </row>
    <row r="9">
      <c r="A9" t="inlineStr">
        <is>
          <t>TC_API_PROFIX_008</t>
        </is>
      </c>
      <c r="B9" t="inlineStr">
        <is>
          <t>Profix API</t>
        </is>
      </c>
      <c r="C9" t="inlineStr">
        <is>
          <t>PUT /jobs/{id}</t>
        </is>
      </c>
      <c r="D9" t="inlineStr">
        <is>
          <t>1. Gửi request PUT tới /jobs/{id}
2. Sử dụng request body/params hợp lệ</t>
        </is>
      </c>
      <c r="E9" t="inlineStr">
        <is>
          <t>200 OK. Phản hồi chứa dữ liệu đúng định nghĩa.</t>
        </is>
      </c>
      <c r="F9" t="inlineStr">
        <is>
          <t>Positive</t>
        </is>
      </c>
    </row>
    <row r="10">
      <c r="A10" t="inlineStr">
        <is>
          <t>TC_API_PROFIX_009</t>
        </is>
      </c>
      <c r="B10" t="inlineStr">
        <is>
          <t>Profix API</t>
        </is>
      </c>
      <c r="C10" t="inlineStr">
        <is>
          <t>PUT /jobs/{id}</t>
        </is>
      </c>
      <c r="D10" t="inlineStr">
        <is>
          <t>1. Gửi request PUT tới /jobs/{id}
2. Không đính kèm Authorization header</t>
        </is>
      </c>
      <c r="E10" t="inlineStr">
        <is>
          <t>401 Unauthorized.</t>
        </is>
      </c>
      <c r="F10" t="inlineStr">
        <is>
          <t>Negative</t>
        </is>
      </c>
    </row>
    <row r="11">
      <c r="A11" t="inlineStr">
        <is>
          <t>TC_API_PROFIX_010</t>
        </is>
      </c>
      <c r="B11" t="inlineStr">
        <is>
          <t>Profix API</t>
        </is>
      </c>
      <c r="C11" t="inlineStr">
        <is>
          <t>PUT /jobs/{id}</t>
        </is>
      </c>
      <c r="D11" t="inlineStr">
        <is>
          <t>1. Gửi request PUT tới /jobs/{id}
2. Gửi body JSON rỗng hoặc sai định dạng</t>
        </is>
      </c>
      <c r="E11" t="inlineStr">
        <is>
          <t>400 Bad Request.</t>
        </is>
      </c>
      <c r="F11" t="inlineStr">
        <is>
          <t>Negative</t>
        </is>
      </c>
    </row>
    <row r="12">
      <c r="A12" t="inlineStr">
        <is>
          <t>TC_API_PROFIX_011</t>
        </is>
      </c>
      <c r="B12" t="inlineStr">
        <is>
          <t>Profix API</t>
        </is>
      </c>
      <c r="C12" t="inlineStr">
        <is>
          <t>DELETE /jobs/{id}</t>
        </is>
      </c>
      <c r="D12" t="inlineStr">
        <is>
          <t>1. Gửi request DELETE tới /jobs/{id}
2. Sử dụng request body/params hợp lệ</t>
        </is>
      </c>
      <c r="E12" t="inlineStr">
        <is>
          <t>200 OK. Phản hồi chứa dữ liệu đúng định nghĩa.</t>
        </is>
      </c>
      <c r="F12" t="inlineStr">
        <is>
          <t>Positive</t>
        </is>
      </c>
    </row>
    <row r="13">
      <c r="A13" t="inlineStr">
        <is>
          <t>TC_API_PROFIX_012</t>
        </is>
      </c>
      <c r="B13" t="inlineStr">
        <is>
          <t>Profix API</t>
        </is>
      </c>
      <c r="C13" t="inlineStr">
        <is>
          <t>DELETE /jobs/{id}</t>
        </is>
      </c>
      <c r="D13" t="inlineStr">
        <is>
          <t>1. Gửi request DELETE tới /jobs/{id}
2. Không đính kèm Authorization header</t>
        </is>
      </c>
      <c r="E13" t="inlineStr">
        <is>
          <t>401 Unauthorized.</t>
        </is>
      </c>
      <c r="F13" t="inlineStr">
        <is>
          <t>Negative</t>
        </is>
      </c>
    </row>
    <row r="14">
      <c r="A14" t="inlineStr">
        <is>
          <t>TC_API_PROFIX_013</t>
        </is>
      </c>
      <c r="B14" t="inlineStr">
        <is>
          <t>Profix API</t>
        </is>
      </c>
      <c r="C14" t="inlineStr">
        <is>
          <t>GET /profiles/{username}</t>
        </is>
      </c>
      <c r="D14" t="inlineStr">
        <is>
          <t>1. Gửi request GET tới /profiles/{username}
2. Sử dụng request body/params hợp lệ</t>
        </is>
      </c>
      <c r="E14" t="inlineStr">
        <is>
          <t>200 OK. Phản hồi chứa dữ liệu đúng định nghĩa.</t>
        </is>
      </c>
      <c r="F14" t="inlineStr">
        <is>
          <t>Positive</t>
        </is>
      </c>
    </row>
    <row r="15">
      <c r="A15" t="inlineStr">
        <is>
          <t>TC_API_PROFIX_014</t>
        </is>
      </c>
      <c r="B15" t="inlineStr">
        <is>
          <t>Profix API</t>
        </is>
      </c>
      <c r="C15" t="inlineStr">
        <is>
          <t>GET /profiles/{username}</t>
        </is>
      </c>
      <c r="D15" t="inlineStr">
        <is>
          <t>1. Gửi request GET tới /profiles/{username}
2. Không đính kèm Authorization header</t>
        </is>
      </c>
      <c r="E15" t="inlineStr">
        <is>
          <t>401 Unauthorized.</t>
        </is>
      </c>
      <c r="F15" t="inlineStr">
        <is>
          <t>Negative</t>
        </is>
      </c>
    </row>
    <row r="16">
      <c r="A16" t="inlineStr">
        <is>
          <t>TC_API_PROFIX_015</t>
        </is>
      </c>
      <c r="B16" t="inlineStr">
        <is>
          <t>Profix API</t>
        </is>
      </c>
      <c r="C16" t="inlineStr">
        <is>
          <t>GET /role</t>
        </is>
      </c>
      <c r="D16" t="inlineStr">
        <is>
          <t>1. Gửi request GET tới /role
2. Sử dụng request body/params hợp lệ</t>
        </is>
      </c>
      <c r="E16" t="inlineStr">
        <is>
          <t>200 OK. Phản hồi chứa dữ liệu đúng định nghĩa.</t>
        </is>
      </c>
      <c r="F16" t="inlineStr">
        <is>
          <t>Positive</t>
        </is>
      </c>
    </row>
    <row r="17">
      <c r="A17" t="inlineStr">
        <is>
          <t>TC_API_PROFIX_016</t>
        </is>
      </c>
      <c r="B17" t="inlineStr">
        <is>
          <t>Profix API</t>
        </is>
      </c>
      <c r="C17" t="inlineStr">
        <is>
          <t>GET /role</t>
        </is>
      </c>
      <c r="D17" t="inlineStr">
        <is>
          <t>1. Gửi request GET tới /role
2. Không đính kèm Authorization header</t>
        </is>
      </c>
      <c r="E17" t="inlineStr">
        <is>
          <t>401 Unauthorized.</t>
        </is>
      </c>
      <c r="F17" t="inlineStr">
        <is>
          <t>Negative</t>
        </is>
      </c>
    </row>
    <row r="18">
      <c r="A18" t="inlineStr">
        <is>
          <t>TC_API_PROFIX_017</t>
        </is>
      </c>
      <c r="B18" t="inlineStr">
        <is>
          <t>Profix API</t>
        </is>
      </c>
      <c r="C18" t="inlineStr">
        <is>
          <t>POST /role</t>
        </is>
      </c>
      <c r="D18" t="inlineStr">
        <is>
          <t>1. Gửi request POST tới /role
2. Sử dụng request body/params hợp lệ</t>
        </is>
      </c>
      <c r="E18" t="inlineStr">
        <is>
          <t>200 OK. Phản hồi chứa dữ liệu đúng định nghĩa.</t>
        </is>
      </c>
      <c r="F18" t="inlineStr">
        <is>
          <t>Positive</t>
        </is>
      </c>
    </row>
    <row r="19">
      <c r="A19" t="inlineStr">
        <is>
          <t>TC_API_PROFIX_018</t>
        </is>
      </c>
      <c r="B19" t="inlineStr">
        <is>
          <t>Profix API</t>
        </is>
      </c>
      <c r="C19" t="inlineStr">
        <is>
          <t>POST /role</t>
        </is>
      </c>
      <c r="D19" t="inlineStr">
        <is>
          <t>1. Gửi request POST tới /role
2. Không đính kèm Authorization header</t>
        </is>
      </c>
      <c r="E19" t="inlineStr">
        <is>
          <t>401 Unauthorized.</t>
        </is>
      </c>
      <c r="F19" t="inlineStr">
        <is>
          <t>Negative</t>
        </is>
      </c>
    </row>
    <row r="20">
      <c r="A20" t="inlineStr">
        <is>
          <t>TC_API_PROFIX_019</t>
        </is>
      </c>
      <c r="B20" t="inlineStr">
        <is>
          <t>Profix API</t>
        </is>
      </c>
      <c r="C20" t="inlineStr">
        <is>
          <t>POST /role</t>
        </is>
      </c>
      <c r="D20" t="inlineStr">
        <is>
          <t>1. Gửi request POST tới /role
2. Gửi body JSON rỗng hoặc sai định dạng</t>
        </is>
      </c>
      <c r="E20" t="inlineStr">
        <is>
          <t>400 Bad Request.</t>
        </is>
      </c>
      <c r="F20" t="inlineStr">
        <is>
          <t>Negative</t>
        </is>
      </c>
    </row>
    <row r="21">
      <c r="A21" t="inlineStr">
        <is>
          <t>TC_API_PROFIX_020</t>
        </is>
      </c>
      <c r="B21" t="inlineStr">
        <is>
          <t>Profix API</t>
        </is>
      </c>
      <c r="C21" t="inlineStr">
        <is>
          <t>PUT /role/permissions</t>
        </is>
      </c>
      <c r="D21" t="inlineStr">
        <is>
          <t>1. Gửi request PUT tới /role/permissions
2. Sử dụng request body/params hợp lệ</t>
        </is>
      </c>
      <c r="E21" t="inlineStr">
        <is>
          <t>200 OK. Phản hồi chứa dữ liệu đúng định nghĩa.</t>
        </is>
      </c>
      <c r="F21" t="inlineStr">
        <is>
          <t>Positive</t>
        </is>
      </c>
    </row>
    <row r="22">
      <c r="A22" t="inlineStr">
        <is>
          <t>TC_API_PROFIX_021</t>
        </is>
      </c>
      <c r="B22" t="inlineStr">
        <is>
          <t>Profix API</t>
        </is>
      </c>
      <c r="C22" t="inlineStr">
        <is>
          <t>PUT /role/permissions</t>
        </is>
      </c>
      <c r="D22" t="inlineStr">
        <is>
          <t>1. Gửi request PUT tới /role/permissions
2. Không đính kèm Authorization header</t>
        </is>
      </c>
      <c r="E22" t="inlineStr">
        <is>
          <t>401 Unauthorized.</t>
        </is>
      </c>
      <c r="F22" t="inlineStr">
        <is>
          <t>Negative</t>
        </is>
      </c>
    </row>
    <row r="23">
      <c r="A23" t="inlineStr">
        <is>
          <t>TC_API_PROFIX_022</t>
        </is>
      </c>
      <c r="B23" t="inlineStr">
        <is>
          <t>Profix API</t>
        </is>
      </c>
      <c r="C23" t="inlineStr">
        <is>
          <t>PUT /role/permissions</t>
        </is>
      </c>
      <c r="D23" t="inlineStr">
        <is>
          <t>1. Gửi request PUT tới /role/permissions
2. Gửi body JSON rỗng hoặc sai định dạng</t>
        </is>
      </c>
      <c r="E23" t="inlineStr">
        <is>
          <t>400 Bad Request.</t>
        </is>
      </c>
      <c r="F23" t="inlineStr">
        <is>
          <t>Negative</t>
        </is>
      </c>
    </row>
    <row r="24">
      <c r="A24" t="inlineStr">
        <is>
          <t>TC_API_PROFIX_023</t>
        </is>
      </c>
      <c r="B24" t="inlineStr">
        <is>
          <t>Profix API</t>
        </is>
      </c>
      <c r="C24" t="inlineStr">
        <is>
          <t>GET /role/{roleId}</t>
        </is>
      </c>
      <c r="D24" t="inlineStr">
        <is>
          <t>1. Gửi request GET tới /role/{roleId}
2. Sử dụng request body/params hợp lệ</t>
        </is>
      </c>
      <c r="E24" t="inlineStr">
        <is>
          <t>200 OK. Phản hồi chứa dữ liệu đúng định nghĩa.</t>
        </is>
      </c>
      <c r="F24" t="inlineStr">
        <is>
          <t>Positive</t>
        </is>
      </c>
    </row>
    <row r="25">
      <c r="A25" t="inlineStr">
        <is>
          <t>TC_API_PROFIX_024</t>
        </is>
      </c>
      <c r="B25" t="inlineStr">
        <is>
          <t>Profix API</t>
        </is>
      </c>
      <c r="C25" t="inlineStr">
        <is>
          <t>GET /role/{roleId}</t>
        </is>
      </c>
      <c r="D25" t="inlineStr">
        <is>
          <t>1. Gửi request GET tới /role/{roleId}
2. Không đính kèm Authorization header</t>
        </is>
      </c>
      <c r="E25" t="inlineStr">
        <is>
          <t>401 Unauthorized.</t>
        </is>
      </c>
      <c r="F25" t="inlineStr">
        <is>
          <t>Negative</t>
        </is>
      </c>
    </row>
    <row r="26">
      <c r="A26" t="inlineStr">
        <is>
          <t>TC_API_PROFIX_025</t>
        </is>
      </c>
      <c r="B26" t="inlineStr">
        <is>
          <t>Profix API</t>
        </is>
      </c>
      <c r="C26" t="inlineStr">
        <is>
          <t>PUT /role/{roleId}</t>
        </is>
      </c>
      <c r="D26" t="inlineStr">
        <is>
          <t>1. Gửi request PUT tới /role/{roleId}
2. Sử dụng request body/params hợp lệ</t>
        </is>
      </c>
      <c r="E26" t="inlineStr">
        <is>
          <t>200 OK. Phản hồi chứa dữ liệu đúng định nghĩa.</t>
        </is>
      </c>
      <c r="F26" t="inlineStr">
        <is>
          <t>Positive</t>
        </is>
      </c>
    </row>
    <row r="27">
      <c r="A27" t="inlineStr">
        <is>
          <t>TC_API_PROFIX_026</t>
        </is>
      </c>
      <c r="B27" t="inlineStr">
        <is>
          <t>Profix API</t>
        </is>
      </c>
      <c r="C27" t="inlineStr">
        <is>
          <t>PUT /role/{roleId}</t>
        </is>
      </c>
      <c r="D27" t="inlineStr">
        <is>
          <t>1. Gửi request PUT tới /role/{roleId}
2. Không đính kèm Authorization header</t>
        </is>
      </c>
      <c r="E27" t="inlineStr">
        <is>
          <t>401 Unauthorized.</t>
        </is>
      </c>
      <c r="F27" t="inlineStr">
        <is>
          <t>Negative</t>
        </is>
      </c>
    </row>
    <row r="28">
      <c r="A28" t="inlineStr">
        <is>
          <t>TC_API_PROFIX_027</t>
        </is>
      </c>
      <c r="B28" t="inlineStr">
        <is>
          <t>Profix API</t>
        </is>
      </c>
      <c r="C28" t="inlineStr">
        <is>
          <t>PUT /role/{roleId}</t>
        </is>
      </c>
      <c r="D28" t="inlineStr">
        <is>
          <t>1. Gửi request PUT tới /role/{roleId}
2. Gửi body JSON rỗng hoặc sai định dạng</t>
        </is>
      </c>
      <c r="E28" t="inlineStr">
        <is>
          <t>400 Bad Request.</t>
        </is>
      </c>
      <c r="F28" t="inlineStr">
        <is>
          <t>Negative</t>
        </is>
      </c>
    </row>
    <row r="29">
      <c r="A29" t="inlineStr">
        <is>
          <t>TC_API_PROFIX_028</t>
        </is>
      </c>
      <c r="B29" t="inlineStr">
        <is>
          <t>Profix API</t>
        </is>
      </c>
      <c r="C29" t="inlineStr">
        <is>
          <t>DELETE /role/{roleId}</t>
        </is>
      </c>
      <c r="D29" t="inlineStr">
        <is>
          <t>1. Gửi request DELETE tới /role/{roleId}
2. Sử dụng request body/params hợp lệ</t>
        </is>
      </c>
      <c r="E29" t="inlineStr">
        <is>
          <t>200 OK. Phản hồi chứa dữ liệu đúng định nghĩa.</t>
        </is>
      </c>
      <c r="F29" t="inlineStr">
        <is>
          <t>Positive</t>
        </is>
      </c>
    </row>
    <row r="30">
      <c r="A30" t="inlineStr">
        <is>
          <t>TC_API_PROFIX_029</t>
        </is>
      </c>
      <c r="B30" t="inlineStr">
        <is>
          <t>Profix API</t>
        </is>
      </c>
      <c r="C30" t="inlineStr">
        <is>
          <t>DELETE /role/{roleId}</t>
        </is>
      </c>
      <c r="D30" t="inlineStr">
        <is>
          <t>1. Gửi request DELETE tới /role/{roleId}
2. Không đính kèm Authorization header</t>
        </is>
      </c>
      <c r="E30" t="inlineStr">
        <is>
          <t>401 Unauthorized.</t>
        </is>
      </c>
      <c r="F30" t="inlineStr">
        <is>
          <t>Negative</t>
        </is>
      </c>
    </row>
    <row r="31">
      <c r="A31" t="inlineStr">
        <is>
          <t>TC_API_PROFIX_030</t>
        </is>
      </c>
      <c r="B31" t="inlineStr">
        <is>
          <t>Profix API</t>
        </is>
      </c>
      <c r="C31" t="inlineStr">
        <is>
          <t>POST /role/{roleId}</t>
        </is>
      </c>
      <c r="D31" t="inlineStr">
        <is>
          <t>1. Gửi request POST tới /role/{roleId}
2. Sử dụng request body/params hợp lệ</t>
        </is>
      </c>
      <c r="E31" t="inlineStr">
        <is>
          <t>200 OK. Phản hồi chứa dữ liệu đúng định nghĩa.</t>
        </is>
      </c>
      <c r="F31" t="inlineStr">
        <is>
          <t>Positive</t>
        </is>
      </c>
    </row>
    <row r="32">
      <c r="A32" t="inlineStr">
        <is>
          <t>TC_API_PROFIX_031</t>
        </is>
      </c>
      <c r="B32" t="inlineStr">
        <is>
          <t>Profix API</t>
        </is>
      </c>
      <c r="C32" t="inlineStr">
        <is>
          <t>POST /role/{roleId}</t>
        </is>
      </c>
      <c r="D32" t="inlineStr">
        <is>
          <t>1. Gửi request POST tới /role/{roleId}
2. Không đính kèm Authorization header</t>
        </is>
      </c>
      <c r="E32" t="inlineStr">
        <is>
          <t>401 Unauthorized.</t>
        </is>
      </c>
      <c r="F32" t="inlineStr">
        <is>
          <t>Negative</t>
        </is>
      </c>
    </row>
    <row r="33">
      <c r="A33" t="inlineStr">
        <is>
          <t>TC_API_PROFIX_032</t>
        </is>
      </c>
      <c r="B33" t="inlineStr">
        <is>
          <t>Profix API</t>
        </is>
      </c>
      <c r="C33" t="inlineStr">
        <is>
          <t>POST /role/{roleId}</t>
        </is>
      </c>
      <c r="D33" t="inlineStr">
        <is>
          <t>1. Gửi request POST tới /role/{roleId}
2. Gửi body JSON rỗng hoặc sai định dạng</t>
        </is>
      </c>
      <c r="E33" t="inlineStr">
        <is>
          <t>400 Bad Request.</t>
        </is>
      </c>
      <c r="F33" t="inlineStr">
        <is>
          <t>Negative</t>
        </is>
      </c>
    </row>
    <row r="34">
      <c r="A34" t="inlineStr">
        <is>
          <t>TC_API_PROFIX_033</t>
        </is>
      </c>
      <c r="B34" t="inlineStr">
        <is>
          <t>Profix API</t>
        </is>
      </c>
      <c r="C34" t="inlineStr">
        <is>
          <t>GET /role/{roleId}</t>
        </is>
      </c>
      <c r="D34" t="inlineStr">
        <is>
          <t>1. Gửi request GET tới /role/{roleId}
2. Sử dụng request body/params hợp lệ</t>
        </is>
      </c>
      <c r="E34" t="inlineStr">
        <is>
          <t>200 OK. Phản hồi chứa dữ liệu đúng định nghĩa.</t>
        </is>
      </c>
      <c r="F34" t="inlineStr">
        <is>
          <t>Positive</t>
        </is>
      </c>
    </row>
    <row r="35">
      <c r="A35" t="inlineStr">
        <is>
          <t>TC_API_PROFIX_034</t>
        </is>
      </c>
      <c r="B35" t="inlineStr">
        <is>
          <t>Profix API</t>
        </is>
      </c>
      <c r="C35" t="inlineStr">
        <is>
          <t>GET /role/{roleId}</t>
        </is>
      </c>
      <c r="D35" t="inlineStr">
        <is>
          <t>1. Gửi request GET tới /role/{roleId}
2. Không đính kèm Authorization header</t>
        </is>
      </c>
      <c r="E35" t="inlineStr">
        <is>
          <t>401 Unauthorized.</t>
        </is>
      </c>
      <c r="F35" t="inlineStr">
        <is>
          <t>Negative</t>
        </is>
      </c>
    </row>
    <row r="36">
      <c r="A36" t="inlineStr">
        <is>
          <t>TC_API_PROFIX_035</t>
        </is>
      </c>
      <c r="B36" t="inlineStr">
        <is>
          <t>Profix API</t>
        </is>
      </c>
      <c r="C36" t="inlineStr">
        <is>
          <t>PUT /role/{roleId}</t>
        </is>
      </c>
      <c r="D36" t="inlineStr">
        <is>
          <t>1. Gửi request PUT tới /role/{roleId}
2. Sử dụng request body/params hợp lệ</t>
        </is>
      </c>
      <c r="E36" t="inlineStr">
        <is>
          <t>200 OK. Phản hồi chứa dữ liệu đúng định nghĩa.</t>
        </is>
      </c>
      <c r="F36" t="inlineStr">
        <is>
          <t>Positive</t>
        </is>
      </c>
    </row>
    <row r="37">
      <c r="A37" t="inlineStr">
        <is>
          <t>TC_API_PROFIX_036</t>
        </is>
      </c>
      <c r="B37" t="inlineStr">
        <is>
          <t>Profix API</t>
        </is>
      </c>
      <c r="C37" t="inlineStr">
        <is>
          <t>PUT /role/{roleId}</t>
        </is>
      </c>
      <c r="D37" t="inlineStr">
        <is>
          <t>1. Gửi request PUT tới /role/{roleId}
2. Không đính kèm Authorization header</t>
        </is>
      </c>
      <c r="E37" t="inlineStr">
        <is>
          <t>401 Unauthorized.</t>
        </is>
      </c>
      <c r="F37" t="inlineStr">
        <is>
          <t>Negative</t>
        </is>
      </c>
    </row>
    <row r="38">
      <c r="A38" t="inlineStr">
        <is>
          <t>TC_API_PROFIX_037</t>
        </is>
      </c>
      <c r="B38" t="inlineStr">
        <is>
          <t>Profix API</t>
        </is>
      </c>
      <c r="C38" t="inlineStr">
        <is>
          <t>PUT /role/{roleId}</t>
        </is>
      </c>
      <c r="D38" t="inlineStr">
        <is>
          <t>1. Gửi request PUT tới /role/{roleId}
2. Gửi body JSON rỗng hoặc sai định dạng</t>
        </is>
      </c>
      <c r="E38" t="inlineStr">
        <is>
          <t>400 Bad Request.</t>
        </is>
      </c>
      <c r="F38" t="inlineStr">
        <is>
          <t>Negative</t>
        </is>
      </c>
    </row>
    <row r="39">
      <c r="A39" t="inlineStr">
        <is>
          <t>TC_API_PROFIX_038</t>
        </is>
      </c>
      <c r="B39" t="inlineStr">
        <is>
          <t>Profix API</t>
        </is>
      </c>
      <c r="C39" t="inlineStr">
        <is>
          <t>POST /user/create</t>
        </is>
      </c>
      <c r="D39" t="inlineStr">
        <is>
          <t>1. Gửi request POST tới /user/create
2. Sử dụng request body/params hợp lệ</t>
        </is>
      </c>
      <c r="E39" t="inlineStr">
        <is>
          <t>200 OK. Phản hồi chứa dữ liệu đúng định nghĩa.</t>
        </is>
      </c>
      <c r="F39" t="inlineStr">
        <is>
          <t>Positive</t>
        </is>
      </c>
    </row>
    <row r="40">
      <c r="A40" t="inlineStr">
        <is>
          <t>TC_API_PROFIX_039</t>
        </is>
      </c>
      <c r="B40" t="inlineStr">
        <is>
          <t>Profix API</t>
        </is>
      </c>
      <c r="C40" t="inlineStr">
        <is>
          <t>POST /user/create</t>
        </is>
      </c>
      <c r="D40" t="inlineStr">
        <is>
          <t>1. Gửi request POST tới /user/create
2. Không đính kèm Authorization header</t>
        </is>
      </c>
      <c r="E40" t="inlineStr">
        <is>
          <t>401 Unauthorized.</t>
        </is>
      </c>
      <c r="F40" t="inlineStr">
        <is>
          <t>Negative</t>
        </is>
      </c>
    </row>
    <row r="41">
      <c r="A41" t="inlineStr">
        <is>
          <t>TC_API_PROFIX_040</t>
        </is>
      </c>
      <c r="B41" t="inlineStr">
        <is>
          <t>Profix API</t>
        </is>
      </c>
      <c r="C41" t="inlineStr">
        <is>
          <t>POST /user/create</t>
        </is>
      </c>
      <c r="D41" t="inlineStr">
        <is>
          <t>1. Gửi request POST tới /user/create
2. Gửi body JSON rỗng hoặc sai định dạng</t>
        </is>
      </c>
      <c r="E41" t="inlineStr">
        <is>
          <t>400 Bad Request.</t>
        </is>
      </c>
      <c r="F41" t="inlineStr">
        <is>
          <t>Negative</t>
        </is>
      </c>
    </row>
    <row r="42">
      <c r="A42" t="inlineStr">
        <is>
          <t>TC_API_PROFIX_041</t>
        </is>
      </c>
      <c r="B42" t="inlineStr">
        <is>
          <t>Profix API</t>
        </is>
      </c>
      <c r="C42" t="inlineStr">
        <is>
          <t>GET /user/get</t>
        </is>
      </c>
      <c r="D42" t="inlineStr">
        <is>
          <t>1. Gửi request GET tới /user/get
2. Sử dụng request body/params hợp lệ</t>
        </is>
      </c>
      <c r="E42" t="inlineStr">
        <is>
          <t>200 OK. Phản hồi chứa dữ liệu đúng định nghĩa.</t>
        </is>
      </c>
      <c r="F42" t="inlineStr">
        <is>
          <t>Positive</t>
        </is>
      </c>
    </row>
    <row r="43">
      <c r="A43" t="inlineStr">
        <is>
          <t>TC_API_PROFIX_042</t>
        </is>
      </c>
      <c r="B43" t="inlineStr">
        <is>
          <t>Profix API</t>
        </is>
      </c>
      <c r="C43" t="inlineStr">
        <is>
          <t>GET /user/get</t>
        </is>
      </c>
      <c r="D43" t="inlineStr">
        <is>
          <t>1. Gửi request GET tới /user/get
2. Không đính kèm Authorization header</t>
        </is>
      </c>
      <c r="E43" t="inlineStr">
        <is>
          <t>401 Unauthorized.</t>
        </is>
      </c>
      <c r="F43" t="inlineStr">
        <is>
          <t>Negative</t>
        </is>
      </c>
    </row>
    <row r="44">
      <c r="A44" t="inlineStr">
        <is>
          <t>TC_API_PROFIX_043</t>
        </is>
      </c>
      <c r="B44" t="inlineStr">
        <is>
          <t>Profix API</t>
        </is>
      </c>
      <c r="C44" t="inlineStr">
        <is>
          <t>GET /user/list</t>
        </is>
      </c>
      <c r="D44" t="inlineStr">
        <is>
          <t>1. Gửi request GET tới /user/list
2. Sử dụng request body/params hợp lệ</t>
        </is>
      </c>
      <c r="E44" t="inlineStr">
        <is>
          <t>200 OK. Phản hồi chứa dữ liệu đúng định nghĩa.</t>
        </is>
      </c>
      <c r="F44" t="inlineStr">
        <is>
          <t>Positive</t>
        </is>
      </c>
    </row>
    <row r="45">
      <c r="A45" t="inlineStr">
        <is>
          <t>TC_API_PROFIX_044</t>
        </is>
      </c>
      <c r="B45" t="inlineStr">
        <is>
          <t>Profix API</t>
        </is>
      </c>
      <c r="C45" t="inlineStr">
        <is>
          <t>GET /user/list</t>
        </is>
      </c>
      <c r="D45" t="inlineStr">
        <is>
          <t>1. Gửi request GET tới /user/list
2. Không đính kèm Authorization header</t>
        </is>
      </c>
      <c r="E45" t="inlineStr">
        <is>
          <t>401 Unauthorized.</t>
        </is>
      </c>
      <c r="F45" t="inlineStr">
        <is>
          <t>Negative</t>
        </is>
      </c>
    </row>
    <row r="46">
      <c r="A46" t="inlineStr">
        <is>
          <t>TC_API_PROFIX_045</t>
        </is>
      </c>
      <c r="B46" t="inlineStr">
        <is>
          <t>Profix API</t>
        </is>
      </c>
      <c r="C46" t="inlineStr">
        <is>
          <t>POST /user/login</t>
        </is>
      </c>
      <c r="D46" t="inlineStr">
        <is>
          <t>1. Gửi request POST tới /user/login
2. Sử dụng request body/params hợp lệ</t>
        </is>
      </c>
      <c r="E46" t="inlineStr">
        <is>
          <t>200 OK. Phản hồi chứa dữ liệu đúng định nghĩa.</t>
        </is>
      </c>
      <c r="F46" t="inlineStr">
        <is>
          <t>Positive</t>
        </is>
      </c>
    </row>
    <row r="47">
      <c r="A47" t="inlineStr">
        <is>
          <t>TC_API_PROFIX_046</t>
        </is>
      </c>
      <c r="B47" t="inlineStr">
        <is>
          <t>Profix API</t>
        </is>
      </c>
      <c r="C47" t="inlineStr">
        <is>
          <t>POST /user/login</t>
        </is>
      </c>
      <c r="D47" t="inlineStr">
        <is>
          <t>1. Gửi request POST tới /user/login
2. Không đính kèm Authorization header</t>
        </is>
      </c>
      <c r="E47" t="inlineStr">
        <is>
          <t>401 Unauthorized.</t>
        </is>
      </c>
      <c r="F47" t="inlineStr">
        <is>
          <t>Negative</t>
        </is>
      </c>
    </row>
    <row r="48">
      <c r="A48" t="inlineStr">
        <is>
          <t>TC_API_PROFIX_047</t>
        </is>
      </c>
      <c r="B48" t="inlineStr">
        <is>
          <t>Profix API</t>
        </is>
      </c>
      <c r="C48" t="inlineStr">
        <is>
          <t>POST /user/login</t>
        </is>
      </c>
      <c r="D48" t="inlineStr">
        <is>
          <t>1. Gửi request POST tới /user/login
2. Gửi body JSON rỗng hoặc sai định dạng</t>
        </is>
      </c>
      <c r="E48" t="inlineStr">
        <is>
          <t>400 Bad Request.</t>
        </is>
      </c>
      <c r="F48" t="inlineStr">
        <is>
          <t>Negative</t>
        </is>
      </c>
    </row>
    <row r="49">
      <c r="A49" t="inlineStr">
        <is>
          <t>TC_API_PROFIX_048</t>
        </is>
      </c>
      <c r="B49" t="inlineStr">
        <is>
          <t>Profix API</t>
        </is>
      </c>
      <c r="C49" t="inlineStr">
        <is>
          <t>PUT /user/update</t>
        </is>
      </c>
      <c r="D49" t="inlineStr">
        <is>
          <t>1. Gửi request PUT tới /user/update
2. Sử dụng request body/params hợp lệ</t>
        </is>
      </c>
      <c r="E49" t="inlineStr">
        <is>
          <t>200 OK. Phản hồi chứa dữ liệu đúng định nghĩa.</t>
        </is>
      </c>
      <c r="F49" t="inlineStr">
        <is>
          <t>Positive</t>
        </is>
      </c>
    </row>
    <row r="50">
      <c r="A50" t="inlineStr">
        <is>
          <t>TC_API_PROFIX_049</t>
        </is>
      </c>
      <c r="B50" t="inlineStr">
        <is>
          <t>Profix API</t>
        </is>
      </c>
      <c r="C50" t="inlineStr">
        <is>
          <t>PUT /user/update</t>
        </is>
      </c>
      <c r="D50" t="inlineStr">
        <is>
          <t>1. Gửi request PUT tới /user/update
2. Không đính kèm Authorization header</t>
        </is>
      </c>
      <c r="E50" t="inlineStr">
        <is>
          <t>401 Unauthorized.</t>
        </is>
      </c>
      <c r="F50" t="inlineStr">
        <is>
          <t>Negative</t>
        </is>
      </c>
    </row>
    <row r="51">
      <c r="A51" t="inlineStr">
        <is>
          <t>TC_API_PROFIX_050</t>
        </is>
      </c>
      <c r="B51" t="inlineStr">
        <is>
          <t>Profix API</t>
        </is>
      </c>
      <c r="C51" t="inlineStr">
        <is>
          <t>PUT /user/update</t>
        </is>
      </c>
      <c r="D51" t="inlineStr">
        <is>
          <t>1. Gửi request PUT tới /user/update
2. Gửi body JSON rỗng hoặc sai định dạng</t>
        </is>
      </c>
      <c r="E51" t="inlineStr">
        <is>
          <t>400 Bad Request.</t>
        </is>
      </c>
      <c r="F5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2026-03-23T09:09:19Z</dcterms:created>
  <dcterms:modified xmlns:dcterms="http://purl.org/dc/terms/" xmlns:xsi="http://www.w3.org/2001/XMLSchema-instance" xsi:type="dcterms:W3CDTF">2026-03-25T07:17:06Z</dcterms:modified>
  <cp:lastModifiedBy>Nguyễn Định</cp:lastModifiedBy>
</cp:coreProperties>
</file>