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Calculator" sheetId="1" state="visible" r:id="rId1"/>
    <sheet xmlns:r="http://schemas.openxmlformats.org/officeDocument/2006/relationships" name="Hướng dẫn sử dụ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STT</t>
        </is>
      </c>
      <c r="B1" s="1" t="inlineStr">
        <is>
          <t>Tên Code Phí / Case Nghiệp vụ</t>
        </is>
      </c>
      <c r="C1" s="1" t="inlineStr">
        <is>
          <t>Giá trị tính phí (A)</t>
        </is>
      </c>
      <c r="D1" s="1" t="inlineStr">
        <is>
          <t>Đơn giá/Số lượng</t>
        </is>
      </c>
      <c r="E1" s="1" t="inlineStr">
        <is>
          <t>Tỷ giá (B)</t>
        </is>
      </c>
      <c r="F1" s="1" t="inlineStr">
        <is>
          <t>Giá trị quy đổi (C=A*B)</t>
        </is>
      </c>
      <c r="G1" s="1" t="inlineStr">
        <is>
          <t>Loại Case (Công thức)</t>
        </is>
      </c>
      <c r="H1" s="1" t="inlineStr">
        <is>
          <t>Phí cố định (F1)</t>
        </is>
      </c>
      <c r="I1" s="1" t="inlineStr">
        <is>
          <t>Tỷ lệ (R1)</t>
        </is>
      </c>
      <c r="J1" s="1" t="inlineStr">
        <is>
          <t>Min (M1)</t>
        </is>
      </c>
      <c r="K1" s="1" t="inlineStr">
        <is>
          <t>Max (M1)</t>
        </is>
      </c>
      <c r="L1" s="1" t="inlineStr">
        <is>
          <t>VAT Included?</t>
        </is>
      </c>
      <c r="M1" s="1" t="inlineStr">
        <is>
          <t>VAT (%)</t>
        </is>
      </c>
      <c r="N1" s="1" t="inlineStr">
        <is>
          <t>PHÍ HỆ THỐNG (E)</t>
        </is>
      </c>
      <c r="O1" s="1" t="inlineStr">
        <is>
          <t>PHÍ THỰC THU (VAT)</t>
        </is>
      </c>
      <c r="P1" s="1" t="inlineStr">
        <is>
          <t>Ghi chú</t>
        </is>
      </c>
    </row>
    <row r="2">
      <c r="A2" s="2" t="n">
        <v>1</v>
      </c>
      <c r="B2" s="2" t="inlineStr">
        <is>
          <t>Case 1: Số cố định (Phí ngay)</t>
        </is>
      </c>
      <c r="C2" s="2" t="n">
        <v>0</v>
      </c>
      <c r="D2" s="2" t="n">
        <v>0</v>
      </c>
      <c r="E2" s="2" t="n">
        <v>1</v>
      </c>
      <c r="F2" s="2">
        <f>C2*E2</f>
        <v/>
      </c>
      <c r="G2" s="2" t="inlineStr">
        <is>
          <t>Fixed</t>
        </is>
      </c>
      <c r="H2" s="2" t="n">
        <v>11000</v>
      </c>
      <c r="I2" s="2" t="n">
        <v>0</v>
      </c>
      <c r="J2" s="2" t="n">
        <v>0</v>
      </c>
      <c r="K2" s="2" t="n">
        <v>0</v>
      </c>
      <c r="L2" s="2" t="inlineStr">
        <is>
          <t>Yes</t>
        </is>
      </c>
      <c r="M2" s="2" t="n">
        <v>0.1</v>
      </c>
      <c r="N2" s="2">
        <f>H2</f>
        <v/>
      </c>
      <c r="O2" s="2">
        <f>IF(L2="Yes", N2, N2*(1+M2))</f>
        <v/>
      </c>
      <c r="P2" s="2" t="inlineStr">
        <is>
          <t>Ví dụ: Phí rút tiền mặt 11k</t>
        </is>
      </c>
    </row>
    <row r="3">
      <c r="A3" s="2" t="n">
        <v>2</v>
      </c>
      <c r="B3" s="2" t="inlineStr">
        <is>
          <t>Case 2: Số cố định (Phí định kỳ)</t>
        </is>
      </c>
      <c r="C3" s="2" t="n">
        <v>0</v>
      </c>
      <c r="D3" s="2" t="n">
        <v>0</v>
      </c>
      <c r="E3" s="2" t="n">
        <v>1</v>
      </c>
      <c r="F3" s="2">
        <f>C3*E3</f>
        <v/>
      </c>
      <c r="G3" s="2" t="inlineStr">
        <is>
          <t>Fixed</t>
        </is>
      </c>
      <c r="H3" s="2" t="n">
        <v>55000</v>
      </c>
      <c r="I3" s="2" t="n">
        <v>0</v>
      </c>
      <c r="J3" s="2" t="n">
        <v>0</v>
      </c>
      <c r="K3" s="2" t="n">
        <v>0</v>
      </c>
      <c r="L3" s="2" t="inlineStr">
        <is>
          <t>Yes</t>
        </is>
      </c>
      <c r="M3" s="2" t="n">
        <v>0.1</v>
      </c>
      <c r="N3" s="2">
        <f>H3</f>
        <v/>
      </c>
      <c r="O3" s="2">
        <f>IF(L3="Yes", N3, N3*(1+M3))</f>
        <v/>
      </c>
      <c r="P3" s="2" t="inlineStr">
        <is>
          <t>Ví dụ: Phí quản lý TK hàng tháng 55k</t>
        </is>
      </c>
    </row>
    <row r="4">
      <c r="A4" s="2" t="n">
        <v>3</v>
      </c>
      <c r="B4" s="2" t="inlineStr">
        <is>
          <t>Case 3: Tỷ lệ * Giá trị (Có Min/Max)</t>
        </is>
      </c>
      <c r="C4" s="2" t="n">
        <v>100000000</v>
      </c>
      <c r="D4" s="2" t="n">
        <v>0</v>
      </c>
      <c r="E4" s="2" t="n">
        <v>1</v>
      </c>
      <c r="F4" s="2">
        <f>C4*E4</f>
        <v/>
      </c>
      <c r="G4" s="2" t="inlineStr">
        <is>
          <t>Rate_MinMax</t>
        </is>
      </c>
      <c r="H4" s="2" t="n">
        <v>0</v>
      </c>
      <c r="I4" s="2" t="n">
        <v>0.0005</v>
      </c>
      <c r="J4" s="2" t="n">
        <v>20000</v>
      </c>
      <c r="K4" s="2" t="n">
        <v>500000</v>
      </c>
      <c r="L4" s="2" t="inlineStr">
        <is>
          <t>No</t>
        </is>
      </c>
      <c r="M4" s="2" t="n">
        <v>0.1</v>
      </c>
      <c r="N4" s="2">
        <f>MAX(J4, MIN(F4*I4, K4))</f>
        <v/>
      </c>
      <c r="O4" s="2">
        <f>IF(L4="Yes", N4, N4*(1+M4))</f>
        <v/>
      </c>
      <c r="P4" s="2" t="inlineStr">
        <is>
          <t>Ví dụ: Chuyển tiền 0.05% (Min 20k, Max 500k)</t>
        </is>
      </c>
    </row>
    <row r="5">
      <c r="A5" s="2" t="n">
        <v>4</v>
      </c>
      <c r="B5" s="2" t="inlineStr">
        <is>
          <t>Case 4: Đơn giá * Số lượng</t>
        </is>
      </c>
      <c r="C5" s="2" t="n">
        <v>0</v>
      </c>
      <c r="D5" s="2" t="n">
        <v>5</v>
      </c>
      <c r="E5" s="2" t="n">
        <v>20000</v>
      </c>
      <c r="F5" s="2">
        <f>C5*E5</f>
        <v/>
      </c>
      <c r="G5" s="2" t="inlineStr">
        <is>
          <t>Unit_Qty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No</t>
        </is>
      </c>
      <c r="M5" s="2" t="n">
        <v>0.1</v>
      </c>
      <c r="N5" s="2">
        <f>D5*E5</f>
        <v/>
      </c>
      <c r="O5" s="2">
        <f>IF(L5="Yes", N5, N5*(1+M5))</f>
        <v/>
      </c>
      <c r="P5" s="2" t="inlineStr">
        <is>
          <t>Ví dụ: Phí in bản sao kê (5 bản * 20k)</t>
        </is>
      </c>
    </row>
    <row r="6">
      <c r="A6" s="2" t="n">
        <v>5</v>
      </c>
      <c r="B6" s="2" t="inlineStr">
        <is>
          <t>Case 5: Số cố định + Tỷ lệ (Có Min/Max)</t>
        </is>
      </c>
      <c r="C6" s="2" t="n">
        <v>50000</v>
      </c>
      <c r="D6" s="2" t="n">
        <v>0</v>
      </c>
      <c r="E6" s="2" t="n">
        <v>25400</v>
      </c>
      <c r="F6" s="2">
        <f>C6*E6</f>
        <v/>
      </c>
      <c r="G6" s="2" t="inlineStr">
        <is>
          <t>Fixed_Rate_MinMax</t>
        </is>
      </c>
      <c r="H6" s="2" t="n">
        <v>30</v>
      </c>
      <c r="I6" s="2" t="n">
        <v>0.002</v>
      </c>
      <c r="J6" s="2" t="n">
        <v>10</v>
      </c>
      <c r="K6" s="2" t="n">
        <v>200</v>
      </c>
      <c r="L6" s="2" t="inlineStr">
        <is>
          <t>No</t>
        </is>
      </c>
      <c r="M6" s="2" t="n">
        <v>0.1</v>
      </c>
      <c r="N6" s="2">
        <f>H6 + MAX(J6, MIN(F6*I6, K6))</f>
        <v/>
      </c>
      <c r="O6" s="2">
        <f>IF(L6="Yes", N6, N6*(1+M6))</f>
        <v/>
      </c>
      <c r="P6" s="2" t="inlineStr">
        <is>
          <t>Ví dụ: Phí chuyển tiền ngoại tệ 30 USD + 0.2% (Min 10, Max 200)</t>
        </is>
      </c>
    </row>
    <row r="7">
      <c r="A7" s="2" t="n">
        <v>6</v>
      </c>
      <c r="B7" s="2" t="inlineStr">
        <is>
          <t>Case 6: Tỷ lệ 1*Val 1 + Tỷ lệ 2*Val 2</t>
        </is>
      </c>
      <c r="C7" s="2" t="n">
        <v>5000000</v>
      </c>
      <c r="D7" s="2" t="n">
        <v>0</v>
      </c>
      <c r="E7" s="2" t="n">
        <v>1</v>
      </c>
      <c r="F7" s="2">
        <f>C7*E7</f>
        <v/>
      </c>
      <c r="G7" s="2" t="inlineStr">
        <is>
          <t>Rate1_Rate2</t>
        </is>
      </c>
      <c r="H7" s="2" t="n">
        <v>0.001</v>
      </c>
      <c r="I7" s="2" t="n">
        <v>0.002</v>
      </c>
      <c r="J7" s="2" t="n">
        <v>0</v>
      </c>
      <c r="K7" s="2" t="n">
        <v>0</v>
      </c>
      <c r="L7" s="2" t="inlineStr">
        <is>
          <t>Yes</t>
        </is>
      </c>
      <c r="M7" s="2" t="n">
        <v>0.1</v>
      </c>
      <c r="N7" s="2">
        <f>(F7*H7) + (F7*I7)</f>
        <v/>
      </c>
      <c r="O7" s="2">
        <f>IF(L7="Yes", N7, N7*(1+M7))</f>
        <v/>
      </c>
      <c r="P7" s="2" t="inlineStr">
        <is>
          <t>Dành cho các loại phí bảo lãnh/LC phức tạp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HƯỚNG DẪN KIỂM TRA PHÍ PROFIX</t>
        </is>
      </c>
    </row>
    <row r="2">
      <c r="A2" t="inlineStr">
        <is>
          <t>1. Nhập Số tiền gốc vào cột C (Giá trị giao dịch).</t>
        </is>
      </c>
    </row>
    <row r="3">
      <c r="A3" t="inlineStr">
        <is>
          <t>2. Nhập Tỷ giá vào cột E (Nếu là VND thì nhập 1).</t>
        </is>
      </c>
    </row>
    <row r="4">
      <c r="A4" t="inlineStr">
        <is>
          <t>3. Nhập mức phí % vào cột I (Ví dụ: 0.1% thì nhập 0.001).</t>
        </is>
      </c>
    </row>
    <row r="5">
      <c r="A5" t="inlineStr">
        <is>
          <t>4. Nhập Min/Max vào cột J, K.</t>
        </is>
      </c>
    </row>
    <row r="6">
      <c r="A6" t="inlineStr">
        <is>
          <t>5. Kết quả mong đợi (Expected Result) nằm ở cột O (PHÍ THỰC THU).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2026-03-23T07:17:45Z</dcterms:created>
  <dcterms:modified xmlns:dcterms="http://purl.org/dc/terms/" xmlns:xsi="http://www.w3.org/2001/XMLSchema-instance" xsi:type="dcterms:W3CDTF">2026-03-23T07:17:45Z</dcterms:modified>
</cp:coreProperties>
</file>